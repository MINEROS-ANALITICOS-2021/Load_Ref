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c9e6ac25fdf4a01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pgemini-my.sharepoint.com/personal/andres_escobar_capgemini_com/Documents/Documents/000_PERSONALES/Martins/"/>
    </mc:Choice>
  </mc:AlternateContent>
  <xr:revisionPtr revIDLastSave="0" documentId="8_{391EBC00-1CA3-4E8B-8B21-1CE43532163D}" xr6:coauthVersionLast="47" xr6:coauthVersionMax="47" xr10:uidLastSave="{00000000-0000-0000-0000-000000000000}"/>
  <bookViews>
    <workbookView showHorizontalScroll="0" xWindow="-120" yWindow="-120" windowWidth="29040" windowHeight="15720" tabRatio="0" firstSheet="5" activeTab="5" xr2:uid="{962812CC-B20F-4F5B-9D8E-57B60E8DD8C4}"/>
  </bookViews>
  <sheets>
    <sheet name="Ppl" sheetId="1" r:id="rId1"/>
    <sheet name="DB1" sheetId="2" r:id="rId2"/>
    <sheet name="DB2" sheetId="5" r:id="rId3"/>
    <sheet name="Forms1" sheetId="3" r:id="rId4"/>
    <sheet name="Tiendas" sheetId="4" r:id="rId5"/>
    <sheet name="DBGENERAL" sheetId="7" r:id="rId6"/>
    <sheet name="Hoja1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C3" i="4"/>
  <c r="C8" i="4"/>
  <c r="C5" i="4"/>
  <c r="C6" i="4"/>
  <c r="C7" i="4"/>
  <c r="C4" i="4"/>
  <c r="C2" i="4"/>
  <c r="C9" i="4"/>
  <c r="A3" i="4"/>
  <c r="A4" i="4"/>
</calcChain>
</file>

<file path=xl/sharedStrings.xml><?xml version="1.0" encoding="utf-8"?>
<sst xmlns="http://schemas.openxmlformats.org/spreadsheetml/2006/main" count="181" uniqueCount="86">
  <si>
    <t>37513359</t>
  </si>
  <si>
    <t>id</t>
  </si>
  <si>
    <t>Tienda</t>
  </si>
  <si>
    <t>Description</t>
  </si>
  <si>
    <t>Correo</t>
  </si>
  <si>
    <t>Responsable</t>
  </si>
  <si>
    <t>XXXX</t>
  </si>
  <si>
    <t>Confirmación de Consignaciones BDC</t>
  </si>
  <si>
    <t>LoadRef V1.0</t>
  </si>
  <si>
    <t>49597418//4017</t>
  </si>
  <si>
    <t>94521963//4017</t>
  </si>
  <si>
    <t>7706792//4017</t>
  </si>
  <si>
    <t>70696234//4017</t>
  </si>
  <si>
    <t>1000238838//4017</t>
  </si>
  <si>
    <t>94521963</t>
  </si>
  <si>
    <t>70696234</t>
  </si>
  <si>
    <t>1000238838</t>
  </si>
  <si>
    <t>Reporte Banco</t>
  </si>
  <si>
    <t>Token_DBGNR</t>
  </si>
  <si>
    <t>Valor_DBGNR</t>
  </si>
  <si>
    <t>Fecha_Trans_DBGNR</t>
  </si>
  <si>
    <t>ReferenciaORIG_DBGNR</t>
  </si>
  <si>
    <t>ReferenciaAJUS_DBGNR</t>
  </si>
  <si>
    <t>Tienda_DBGNR</t>
  </si>
  <si>
    <t>Fecha_Asig_DBGNR</t>
  </si>
  <si>
    <t>Status_envio_DBGNR</t>
  </si>
  <si>
    <t>Column_ADD_DBGNR</t>
  </si>
  <si>
    <t>Type_Report_DBGNR</t>
  </si>
  <si>
    <t>1049619925</t>
  </si>
  <si>
    <t>901088792</t>
  </si>
  <si>
    <t>92131747</t>
  </si>
  <si>
    <t>10662733</t>
  </si>
  <si>
    <t>1065995833</t>
  </si>
  <si>
    <t>49597418_15082025_50220000</t>
  </si>
  <si>
    <t>94521963_15082025_33218000</t>
  </si>
  <si>
    <t>7706792_15082025_17012800</t>
  </si>
  <si>
    <t>70696234_15082025_8646200</t>
  </si>
  <si>
    <t>1000238838_15082025_8280000</t>
  </si>
  <si>
    <t>Único Registro</t>
  </si>
  <si>
    <t>Reporte Add Tarde</t>
  </si>
  <si>
    <t>818</t>
  </si>
  <si>
    <t>854</t>
  </si>
  <si>
    <t>1145</t>
  </si>
  <si>
    <t>966</t>
  </si>
  <si>
    <t>1303</t>
  </si>
  <si>
    <t>19/08/2025</t>
  </si>
  <si>
    <t>37513359_19082025_1428000</t>
  </si>
  <si>
    <t>1049619925_19082025_80000</t>
  </si>
  <si>
    <t>901088792_19082025_6893600</t>
  </si>
  <si>
    <t>92131747_19082025_2304000</t>
  </si>
  <si>
    <t>10662733_19082025_2160000</t>
  </si>
  <si>
    <t>1065995833_19082025_19224400</t>
  </si>
  <si>
    <t>913</t>
  </si>
  <si>
    <t>685</t>
  </si>
  <si>
    <t>1252</t>
  </si>
  <si>
    <t>Enviado</t>
  </si>
  <si>
    <t>andrescobando@gmail.com</t>
  </si>
  <si>
    <t>¡Pegar datos desde aquí!</t>
  </si>
  <si>
    <t>Token_Forms1</t>
  </si>
  <si>
    <t>Fecha_Forms1</t>
  </si>
  <si>
    <t>ReferenciaORIG_Forms1</t>
  </si>
  <si>
    <t>Valor_Forms1</t>
  </si>
  <si>
    <t>Tienda_Forms1</t>
  </si>
  <si>
    <t>1104422369_04082025_8000000</t>
  </si>
  <si>
    <t>40778055_04082025_3000000</t>
  </si>
  <si>
    <t>37513359_04082025_1360800</t>
  </si>
  <si>
    <t>40778055_04082025_2180100</t>
  </si>
  <si>
    <t>9022406_04082025_1959000</t>
  </si>
  <si>
    <t>901388613_04082025_2289840</t>
  </si>
  <si>
    <t>14950957_04082025_2900000</t>
  </si>
  <si>
    <t>14950957_04082025_776000</t>
  </si>
  <si>
    <t>1126454330_04082025_1020000</t>
  </si>
  <si>
    <t>25271089_04082025_2580000</t>
  </si>
  <si>
    <t>1129571413_04082025_400000</t>
  </si>
  <si>
    <t>25271089_04082025_9500000</t>
  </si>
  <si>
    <t>40778055_04082025_2122000</t>
  </si>
  <si>
    <t>Token_DB2</t>
  </si>
  <si>
    <t>Valor_DB2</t>
  </si>
  <si>
    <t>Fecha_DB2</t>
  </si>
  <si>
    <t>ReferenciaORIG_DB2</t>
  </si>
  <si>
    <t>ReferenciaAJUS_DB2</t>
  </si>
  <si>
    <t>Tienda_DB2</t>
  </si>
  <si>
    <t>Fecha_Asig_DB2</t>
  </si>
  <si>
    <t>Column_ADD_DB2</t>
  </si>
  <si>
    <t>Type_Report_DB2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</si>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</sst>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yy"/>
  </numFmts>
  <fonts count="10" x14ac:knownFonts="1"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2"/>
      <scheme val="minor"/>
    </font>
    <font>
      <b/>
      <sz val="26"/>
      <color rgb="FFFF0000"/>
      <name val="Tahoma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39">
    <xf numFmtId="0" fontId="0" fillId="0" borderId="0" xfId="0"/>
    <xf numFmtId="164" fontId="0" fillId="0" borderId="0" xfId="0" applyNumberFormat="1"/>
    <xf numFmtId="49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1" applyNumberFormat="1"/>
    <xf numFmtId="0" fontId="5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9" fontId="6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3" fontId="5" fillId="0" borderId="0" xfId="0" applyNumberFormat="1" applyFont="1" applyProtection="1">
      <protection locked="0"/>
    </xf>
    <xf numFmtId="164" fontId="5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49" fontId="3" fillId="0" borderId="0" xfId="0" applyNumberFormat="1" applyFont="1" applyProtection="1">
      <protection locked="0"/>
    </xf>
    <xf numFmtId="3" fontId="4" fillId="0" borderId="0" xfId="0" applyNumberFormat="1" applyFont="1" applyProtection="1">
      <protection locked="0"/>
    </xf>
    <xf numFmtId="164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49" fontId="0" fillId="3" borderId="0" xfId="0" applyNumberFormat="1" applyFill="1"/>
    <xf numFmtId="3" fontId="0" fillId="3" borderId="0" xfId="0" applyNumberFormat="1" applyFill="1"/>
    <xf numFmtId="3" fontId="0" fillId="0" borderId="0" xfId="2" applyNumberFormat="1" applyFont="1"/>
    <xf numFmtId="49" fontId="9" fillId="0" borderId="0" xfId="0" applyNumberFormat="1" applyFont="1"/>
    <xf numFmtId="164" fontId="9" fillId="0" borderId="0" xfId="0" applyNumberFormat="1" applyFont="1"/>
    <xf numFmtId="49" fontId="9" fillId="0" borderId="0" xfId="0" applyNumberFormat="1" applyFont="1" applyAlignment="1">
      <alignment horizontal="center"/>
    </xf>
    <xf numFmtId="3" fontId="9" fillId="0" borderId="0" xfId="0" applyNumberFormat="1" applyFont="1"/>
    <xf numFmtId="0" fontId="9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121627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8081E9BC-0EFF-0DE4-B79F-7335D0C69A60}"/>
            </a:ext>
          </a:extLst>
        </xdr:cNvPr>
        <xdr:cNvSpPr>
          <a:spLocks noChangeAspect="1" noChangeArrowheads="1"/>
        </xdr:cNvSpPr>
      </xdr:nvSpPr>
      <xdr:spPr bwMode="auto">
        <a:xfrm>
          <a:off x="15240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461963</xdr:colOff>
      <xdr:row>9</xdr:row>
      <xdr:rowOff>87311</xdr:rowOff>
    </xdr:from>
    <xdr:to>
      <xdr:col>11</xdr:col>
      <xdr:colOff>989745</xdr:colOff>
      <xdr:row>15</xdr:row>
      <xdr:rowOff>54916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8FC10-33E9-EF48-5E32-D7F81FFC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963" y="2039936"/>
          <a:ext cx="6372225" cy="10739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2DBD9E3A-8CBD-FCC2-33EA-6FDB2ABF6D82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5" name="HojaActual">
          <a:extLst>
            <a:ext uri="{FF2B5EF4-FFF2-40B4-BE49-F238E27FC236}">
              <a16:creationId xmlns:a16="http://schemas.microsoft.com/office/drawing/2014/main" id="{094476D6-4B0E-B2B7-2D31-80B5762EEC9C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24</xdr:row>
      <xdr:rowOff>101600</xdr:rowOff>
    </xdr:to>
    <xdr:sp macro="" textlink="">
      <xdr:nvSpPr>
        <xdr:cNvPr id="6" name="HojaActual">
          <a:extLst>
            <a:ext uri="{FF2B5EF4-FFF2-40B4-BE49-F238E27FC236}">
              <a16:creationId xmlns:a16="http://schemas.microsoft.com/office/drawing/2014/main" id="{3EB290FA-F6F4-BD4D-3988-2076B3F63622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Diario</a:t>
          </a:r>
        </a:p>
        <a:p>
          <a:r>
            <a:rPr lang="es-CO" sz="1100"/>
            <a:t>&gt;&gt;&gt;&gt;&gt;&gt; MODULO- Soporte Banco Diario &lt;&lt;&lt;&lt;&lt;&lt; </a:t>
          </a:r>
        </a:p>
        <a:p>
          <a:r>
            <a:rPr lang="es-CO" sz="1100"/>
            <a:t>&gt;&gt; Información Generada por el Banco en la mañana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Diario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Diario &lt;-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13</xdr:row>
      <xdr:rowOff>177800</xdr:rowOff>
    </xdr:from>
    <xdr:to>
      <xdr:col>18</xdr:col>
      <xdr:colOff>152400</xdr:colOff>
      <xdr:row>24</xdr:row>
      <xdr:rowOff>92075</xdr:rowOff>
    </xdr:to>
    <xdr:sp macro="" textlink="">
      <xdr:nvSpPr>
        <xdr:cNvPr id="6" name="HojaActual">
          <a:extLst>
            <a:ext uri="{FF2B5EF4-FFF2-40B4-BE49-F238E27FC236}">
              <a16:creationId xmlns:a16="http://schemas.microsoft.com/office/drawing/2014/main" id="{86F8F076-6AEE-415B-8615-451DFE565EFB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Tarde</a:t>
          </a:r>
        </a:p>
        <a:p>
          <a:r>
            <a:rPr lang="es-CO" sz="1100"/>
            <a:t>&gt;&gt;&gt;&gt;&gt;&gt; MODULO- Soporte Banco Tarde &lt;&lt;&lt;&lt;&lt;&lt; </a:t>
          </a:r>
        </a:p>
        <a:p>
          <a:r>
            <a:rPr lang="es-CO" sz="1100"/>
            <a:t>&gt;&gt; Información Generada por el Banco en la tarde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Tarde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Tarde &lt;-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13</xdr:row>
      <xdr:rowOff>177800</xdr:rowOff>
    </xdr:from>
    <xdr:to>
      <xdr:col>18</xdr:col>
      <xdr:colOff>152400</xdr:colOff>
      <xdr:row>24</xdr:row>
      <xdr:rowOff>92075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0029676A-543A-5807-0887-0C08C53F824B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Forms Enviados</a:t>
          </a:r>
        </a:p>
        <a:p>
          <a:r>
            <a:rPr lang="es-CO" sz="1100"/>
            <a:t>&gt;&gt;&gt;&gt;&gt;&gt; MODULO- Formulario &lt;&lt;&lt;&lt;&lt;&lt; </a:t>
          </a:r>
        </a:p>
        <a:p>
          <a:r>
            <a:rPr lang="es-CO" sz="1100"/>
            <a:t>&gt;&gt; Información Enviada por Forms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Forms &lt;-</a:t>
          </a:r>
        </a:p>
        <a:p>
          <a:r>
            <a:rPr lang="es-CO" sz="1100"/>
            <a:t>&gt;&gt; Dar click en -&gt; Validar Tiendas &lt;-</a:t>
          </a:r>
        </a:p>
        <a:p>
          <a:r>
            <a:rPr lang="es-CO" sz="1100"/>
            <a:t>&gt;&gt; Dar click en -&gt; Borrar Datos Banco Forms &lt;-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13</xdr:row>
      <xdr:rowOff>177800</xdr:rowOff>
    </xdr:from>
    <xdr:to>
      <xdr:col>17</xdr:col>
      <xdr:colOff>561975</xdr:colOff>
      <xdr:row>24</xdr:row>
      <xdr:rowOff>92075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5A671CE0-B1EB-35AC-6934-6E0576D56235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Tiendas</a:t>
          </a:r>
        </a:p>
        <a:p>
          <a:r>
            <a:rPr lang="es-CO" sz="1100"/>
            <a:t>&gt;&gt;&gt;&gt;&gt;&gt; MODULO- Tiendas &lt;&lt;&lt;&lt;&lt;&lt; </a:t>
          </a:r>
        </a:p>
        <a:p>
          <a:r>
            <a:rPr lang="es-CO" sz="1100"/>
            <a:t>&gt;&gt; Base de Datos de las Tiendas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15</xdr:row>
      <xdr:rowOff>111125</xdr:rowOff>
    </xdr:from>
    <xdr:to>
      <xdr:col>9</xdr:col>
      <xdr:colOff>1190625</xdr:colOff>
      <xdr:row>27</xdr:row>
      <xdr:rowOff>73025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B25A0F80-25E9-BEDB-0ED2-19814B88051C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BASE GENERAL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21</xdr:row>
      <xdr:rowOff>136525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40EAFBD3-0853-2BD4-B83F-D6121BD57EFF}"/>
            </a:ext>
          </a:extLst>
        </xdr:cNvPr>
        <xdr:cNvSpPr txBox="1"/>
      </xdr:nvSpPr>
      <xdr:spPr>
        <a:xfrm>
          <a:off x="11430000" y="2540000"/>
          <a:ext cx="3810000" cy="1397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Hoja1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Vista">
  <a:themeElements>
    <a:clrScheme name="Vista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Reflejo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6173-3A02-46CB-8B5F-48E543961531}">
  <sheetPr codeName="Hoja1"/>
  <dimension ref="A1:M16"/>
  <sheetViews>
    <sheetView showGridLines="0" showRowColHeaders="0" zoomScale="120" zoomScaleNormal="120" workbookViewId="0">
      <pane activePane="bottomRight" state="frozen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.25" zeroHeight="1" x14ac:dyDescent="0.2"/>
  <cols>
    <col min="1" max="11" width="11" customWidth="1"/>
    <col min="12" max="12" width="16.625" customWidth="1"/>
    <col min="13" max="13" width="15" customWidth="1"/>
    <col min="14" max="16384" width="10" hidden="1"/>
  </cols>
  <sheetData>
    <row r="1" spans="2:12" x14ac:dyDescent="0.2"/>
    <row r="2" spans="2:12" x14ac:dyDescent="0.2"/>
    <row r="3" spans="2:12" ht="15" thickBot="1" x14ac:dyDescent="0.25"/>
    <row r="4" spans="2:12" ht="32.25" customHeight="1" x14ac:dyDescent="0.2">
      <c r="B4" s="30" t="s">
        <v>7</v>
      </c>
      <c r="C4" s="31"/>
      <c r="D4" s="31"/>
      <c r="E4" s="31"/>
      <c r="F4" s="31"/>
      <c r="G4" s="31"/>
      <c r="H4" s="31"/>
      <c r="I4" s="31"/>
      <c r="J4" s="31"/>
      <c r="K4" s="32"/>
    </row>
    <row r="5" spans="2:12" x14ac:dyDescent="0.2">
      <c r="B5" s="33"/>
      <c r="C5" s="34"/>
      <c r="D5" s="34"/>
      <c r="E5" s="34"/>
      <c r="F5" s="34"/>
      <c r="G5" s="34"/>
      <c r="H5" s="34"/>
      <c r="I5" s="34"/>
      <c r="J5" s="34"/>
      <c r="K5" s="35"/>
    </row>
    <row r="6" spans="2:12" x14ac:dyDescent="0.2">
      <c r="B6" s="33"/>
      <c r="C6" s="34"/>
      <c r="D6" s="34"/>
      <c r="E6" s="34"/>
      <c r="F6" s="34"/>
      <c r="G6" s="34"/>
      <c r="H6" s="34"/>
      <c r="I6" s="34"/>
      <c r="J6" s="34"/>
      <c r="K6" s="35"/>
    </row>
    <row r="7" spans="2:12" ht="15" thickBot="1" x14ac:dyDescent="0.25">
      <c r="B7" s="36"/>
      <c r="C7" s="37"/>
      <c r="D7" s="37"/>
      <c r="E7" s="37"/>
      <c r="F7" s="37"/>
      <c r="G7" s="37"/>
      <c r="H7" s="37"/>
      <c r="I7" s="37"/>
      <c r="J7" s="37"/>
      <c r="K7" s="38"/>
    </row>
    <row r="8" spans="2:12" x14ac:dyDescent="0.2"/>
    <row r="9" spans="2:12" x14ac:dyDescent="0.2"/>
    <row r="10" spans="2:12" x14ac:dyDescent="0.2"/>
    <row r="11" spans="2:12" x14ac:dyDescent="0.2"/>
    <row r="12" spans="2:12" x14ac:dyDescent="0.2"/>
    <row r="13" spans="2:12" x14ac:dyDescent="0.2"/>
    <row r="14" spans="2:12" x14ac:dyDescent="0.2"/>
    <row r="15" spans="2:12" ht="15" x14ac:dyDescent="0.25">
      <c r="L15" s="5" t="s">
        <v>8</v>
      </c>
    </row>
    <row r="16" spans="2:12" ht="46.5" customHeight="1" x14ac:dyDescent="0.2"/>
  </sheetData>
  <mergeCells count="1">
    <mergeCell ref="B4:K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60FC-3E46-4787-A36F-37AA04EAF6BD}">
  <sheetPr codeName="Hoja2"/>
  <dimension ref="A1:G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</cols>
  <sheetData>
    <row r="1" spans="1:2" x14ac:dyDescent="0.2">
      <c r="A1" s="22" t="s">
        <v>57</v>
      </c>
      <c r="B1" s="2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0FBC-8BF9-42C7-B74B-179660DCE015}">
  <sheetPr codeName="Hoja5"/>
  <dimension ref="A1:J7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  <col min="8" max="8" width="11" style="2"/>
  </cols>
  <sheetData>
    <row r="1" spans="1:10" ht="15" x14ac:dyDescent="0.25">
      <c r="A1" s="25" t="s">
        <v>76</v>
      </c>
      <c r="B1" s="28" t="s">
        <v>76</v>
      </c>
      <c r="C1" s="26" t="s">
        <v>77</v>
      </c>
      <c r="D1" s="25" t="s">
        <v>78</v>
      </c>
      <c r="E1" s="25" t="s">
        <v>79</v>
      </c>
      <c r="F1" s="25" t="s">
        <v>80</v>
      </c>
      <c r="G1" s="26" t="s">
        <v>81</v>
      </c>
      <c r="H1" s="25" t="s">
        <v>82</v>
      </c>
      <c r="I1" s="29" t="s">
        <v>83</v>
      </c>
      <c r="J1" s="29" t="s">
        <v>84</v>
      </c>
    </row>
    <row r="2" spans="1:10" x14ac:dyDescent="0.2">
      <c r="A2" s="2" t="s">
        <v>46</v>
      </c>
      <c r="B2" s="3">
        <v>1428000</v>
      </c>
      <c r="C2" s="1">
        <v>0</v>
      </c>
      <c r="D2" s="2" t="s">
        <v>0</v>
      </c>
      <c r="E2" s="2" t="s">
        <v>85</v>
      </c>
      <c r="F2" s="2" t="s">
        <v>85</v>
      </c>
      <c r="I2" t="s">
        <v>38</v>
      </c>
      <c r="J2" t="s">
        <v>39</v>
      </c>
    </row>
    <row r="3" spans="1:10" x14ac:dyDescent="0.2">
      <c r="A3" s="2" t="s">
        <v>47</v>
      </c>
      <c r="B3" s="3">
        <v>80000</v>
      </c>
      <c r="C3" s="1" t="s">
        <v>45</v>
      </c>
      <c r="D3" s="2" t="s">
        <v>28</v>
      </c>
      <c r="E3" s="2" t="s">
        <v>28</v>
      </c>
      <c r="I3" t="s">
        <v>38</v>
      </c>
      <c r="J3" t="s">
        <v>39</v>
      </c>
    </row>
    <row r="4" spans="1:10" x14ac:dyDescent="0.2">
      <c r="A4" s="2" t="s">
        <v>48</v>
      </c>
      <c r="B4" s="3">
        <v>6893600</v>
      </c>
      <c r="C4" s="1" t="s">
        <v>45</v>
      </c>
      <c r="D4" s="2" t="s">
        <v>29</v>
      </c>
      <c r="E4" s="2" t="s">
        <v>29</v>
      </c>
      <c r="I4" t="s">
        <v>38</v>
      </c>
      <c r="J4" t="s">
        <v>39</v>
      </c>
    </row>
    <row r="5" spans="1:10" x14ac:dyDescent="0.2">
      <c r="A5" s="2" t="s">
        <v>49</v>
      </c>
      <c r="B5" s="3">
        <v>2304000</v>
      </c>
      <c r="C5" s="1" t="s">
        <v>45</v>
      </c>
      <c r="D5" s="2" t="s">
        <v>30</v>
      </c>
      <c r="E5" s="2" t="s">
        <v>30</v>
      </c>
      <c r="I5" t="s">
        <v>38</v>
      </c>
      <c r="J5" t="s">
        <v>39</v>
      </c>
    </row>
    <row r="6" spans="1:10" x14ac:dyDescent="0.2">
      <c r="A6" s="2" t="s">
        <v>50</v>
      </c>
      <c r="B6" s="3">
        <v>2160000</v>
      </c>
      <c r="C6" s="1" t="s">
        <v>45</v>
      </c>
      <c r="D6" s="2" t="s">
        <v>31</v>
      </c>
      <c r="E6" s="2" t="s">
        <v>31</v>
      </c>
      <c r="I6" t="s">
        <v>38</v>
      </c>
      <c r="J6" t="s">
        <v>39</v>
      </c>
    </row>
    <row r="7" spans="1:10" x14ac:dyDescent="0.2">
      <c r="A7" s="2" t="s">
        <v>51</v>
      </c>
      <c r="B7" s="3">
        <v>19224400</v>
      </c>
      <c r="C7" s="1" t="s">
        <v>45</v>
      </c>
      <c r="D7" s="2" t="s">
        <v>32</v>
      </c>
      <c r="E7" s="2" t="s">
        <v>32</v>
      </c>
      <c r="I7" t="s">
        <v>38</v>
      </c>
      <c r="J7" t="s">
        <v>39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B4365-01B4-44B5-9193-9A67E6C8ED81}">
  <sheetPr codeName="Hoja3"/>
  <dimension ref="A1:T14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1"/>
    <col min="3" max="3" width="11" style="2"/>
    <col min="4" max="4" width="11" style="3"/>
    <col min="5" max="20" width="11" style="2"/>
  </cols>
  <sheetData>
    <row r="1" spans="1:5" ht="15" x14ac:dyDescent="0.25">
      <c r="A1" s="25" t="s">
        <v>58</v>
      </c>
      <c r="B1" s="26" t="s">
        <v>59</v>
      </c>
      <c r="C1" s="27" t="s">
        <v>60</v>
      </c>
      <c r="D1" s="28" t="s">
        <v>61</v>
      </c>
      <c r="E1" s="25" t="s">
        <v>62</v>
      </c>
    </row>
    <row r="2" spans="1:5" x14ac:dyDescent="0.2">
      <c r="A2" s="2" t="s">
        <v>63</v>
      </c>
      <c r="B2" s="1">
        <v>45873</v>
      </c>
      <c r="C2" s="2">
        <v>1104422369</v>
      </c>
      <c r="D2" s="24">
        <v>8000000</v>
      </c>
      <c r="E2" s="2">
        <v>1303</v>
      </c>
    </row>
    <row r="3" spans="1:5" x14ac:dyDescent="0.2">
      <c r="A3" s="2" t="s">
        <v>64</v>
      </c>
      <c r="B3" s="1">
        <v>45873</v>
      </c>
      <c r="C3" s="2">
        <v>40778055</v>
      </c>
      <c r="D3" s="24">
        <v>3000000</v>
      </c>
      <c r="E3" s="2">
        <v>913</v>
      </c>
    </row>
    <row r="4" spans="1:5" x14ac:dyDescent="0.2">
      <c r="A4" s="2" t="s">
        <v>65</v>
      </c>
      <c r="B4" s="1">
        <v>45873</v>
      </c>
      <c r="C4" s="2">
        <v>37513359</v>
      </c>
      <c r="D4" s="24">
        <v>1360800</v>
      </c>
      <c r="E4" s="2">
        <v>685</v>
      </c>
    </row>
    <row r="5" spans="1:5" x14ac:dyDescent="0.2">
      <c r="A5" s="2" t="s">
        <v>66</v>
      </c>
      <c r="B5" s="1">
        <v>45873</v>
      </c>
      <c r="C5" s="2">
        <v>40778055</v>
      </c>
      <c r="D5" s="24">
        <v>2180100</v>
      </c>
      <c r="E5" s="2">
        <v>913</v>
      </c>
    </row>
    <row r="6" spans="1:5" x14ac:dyDescent="0.2">
      <c r="A6" s="2" t="s">
        <v>67</v>
      </c>
      <c r="B6" s="1">
        <v>45873</v>
      </c>
      <c r="C6" s="2">
        <v>9022406</v>
      </c>
      <c r="D6" s="24">
        <v>1959000</v>
      </c>
      <c r="E6" s="2">
        <v>1252</v>
      </c>
    </row>
    <row r="7" spans="1:5" x14ac:dyDescent="0.2">
      <c r="A7" s="2" t="s">
        <v>68</v>
      </c>
      <c r="B7" s="1">
        <v>45873</v>
      </c>
      <c r="C7" s="2">
        <v>901388613</v>
      </c>
      <c r="D7" s="24">
        <v>2289840</v>
      </c>
      <c r="E7" s="2">
        <v>818</v>
      </c>
    </row>
    <row r="8" spans="1:5" x14ac:dyDescent="0.2">
      <c r="A8" s="2" t="s">
        <v>69</v>
      </c>
      <c r="B8" s="1">
        <v>45873</v>
      </c>
      <c r="C8" s="2">
        <v>14950957</v>
      </c>
      <c r="D8" s="24">
        <v>2900000</v>
      </c>
      <c r="E8" s="2">
        <v>854</v>
      </c>
    </row>
    <row r="9" spans="1:5" x14ac:dyDescent="0.2">
      <c r="A9" s="2" t="s">
        <v>70</v>
      </c>
      <c r="B9" s="1">
        <v>45873</v>
      </c>
      <c r="C9" s="2">
        <v>14950957</v>
      </c>
      <c r="D9" s="24">
        <v>776000</v>
      </c>
      <c r="E9" s="2">
        <v>854</v>
      </c>
    </row>
    <row r="10" spans="1:5" x14ac:dyDescent="0.2">
      <c r="A10" s="2" t="s">
        <v>71</v>
      </c>
      <c r="B10" s="1">
        <v>45873</v>
      </c>
      <c r="C10" s="2">
        <v>1126454330</v>
      </c>
      <c r="D10" s="24">
        <v>1020000</v>
      </c>
      <c r="E10" s="2">
        <v>1145</v>
      </c>
    </row>
    <row r="11" spans="1:5" x14ac:dyDescent="0.2">
      <c r="A11" s="2" t="s">
        <v>72</v>
      </c>
      <c r="B11" s="1">
        <v>45873</v>
      </c>
      <c r="C11" s="2">
        <v>25271089</v>
      </c>
      <c r="D11" s="24">
        <v>2580000</v>
      </c>
      <c r="E11" s="2">
        <v>966</v>
      </c>
    </row>
    <row r="12" spans="1:5" x14ac:dyDescent="0.2">
      <c r="A12" s="2" t="s">
        <v>73</v>
      </c>
      <c r="B12" s="1">
        <v>45873</v>
      </c>
      <c r="C12" s="2">
        <v>1129571413</v>
      </c>
      <c r="D12" s="24">
        <v>400000</v>
      </c>
      <c r="E12" s="2">
        <v>1303</v>
      </c>
    </row>
    <row r="13" spans="1:5" x14ac:dyDescent="0.2">
      <c r="A13" s="2" t="s">
        <v>74</v>
      </c>
      <c r="B13" s="1">
        <v>45873</v>
      </c>
      <c r="C13" s="2">
        <v>25271089</v>
      </c>
      <c r="D13" s="24">
        <v>9500000</v>
      </c>
      <c r="E13" s="2">
        <v>966</v>
      </c>
    </row>
    <row r="14" spans="1:5" x14ac:dyDescent="0.2">
      <c r="A14" s="2" t="s">
        <v>75</v>
      </c>
      <c r="B14" s="1">
        <v>45873</v>
      </c>
      <c r="C14" s="2">
        <v>40778055</v>
      </c>
      <c r="D14" s="24">
        <v>2122000</v>
      </c>
      <c r="E14" s="2">
        <v>913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3630-86E3-49AD-BEFF-BDE854A43ED8}">
  <sheetPr codeName="Hoja4"/>
  <dimension ref="A1:E9"/>
  <sheetViews>
    <sheetView showGridLines="0" showRowColHeaders="0" zoomScale="85" zoomScaleNormal="85" workbookViewId="0"/>
  </sheetViews>
  <sheetFormatPr baseColWidth="10" defaultRowHeight="14.25" x14ac:dyDescent="0.2"/>
  <cols>
    <col min="1" max="1" width="4.375" customWidth="1"/>
    <col min="4" max="4" width="23.25" customWidth="1"/>
  </cols>
  <sheetData>
    <row r="1" spans="1:5" ht="1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x14ac:dyDescent="0.2">
      <c r="A2">
        <v>1</v>
      </c>
      <c r="B2" s="4">
        <v>685</v>
      </c>
      <c r="C2" t="str">
        <f t="shared" ref="C2:C9" si="0">+"Tienda_"&amp;B2</f>
        <v>Tienda_685</v>
      </c>
      <c r="D2" s="6" t="s">
        <v>56</v>
      </c>
      <c r="E2" t="s">
        <v>6</v>
      </c>
    </row>
    <row r="3" spans="1:5" x14ac:dyDescent="0.2">
      <c r="A3">
        <f>+A2+1</f>
        <v>2</v>
      </c>
      <c r="B3" s="4">
        <v>818</v>
      </c>
      <c r="C3" t="str">
        <f t="shared" si="0"/>
        <v>Tienda_818</v>
      </c>
      <c r="D3" s="6" t="s">
        <v>56</v>
      </c>
      <c r="E3" t="s">
        <v>6</v>
      </c>
    </row>
    <row r="4" spans="1:5" x14ac:dyDescent="0.2">
      <c r="A4">
        <f>+A3+1</f>
        <v>3</v>
      </c>
      <c r="B4" s="4">
        <v>854</v>
      </c>
      <c r="C4" t="str">
        <f t="shared" si="0"/>
        <v>Tienda_854</v>
      </c>
      <c r="D4" s="6" t="s">
        <v>56</v>
      </c>
      <c r="E4" t="s">
        <v>6</v>
      </c>
    </row>
    <row r="5" spans="1:5" x14ac:dyDescent="0.2">
      <c r="A5">
        <f t="shared" ref="A5:A9" si="1">+A4+1</f>
        <v>4</v>
      </c>
      <c r="B5" s="4">
        <v>913</v>
      </c>
      <c r="C5" t="str">
        <f t="shared" si="0"/>
        <v>Tienda_913</v>
      </c>
      <c r="D5" s="6" t="s">
        <v>56</v>
      </c>
      <c r="E5" t="s">
        <v>6</v>
      </c>
    </row>
    <row r="6" spans="1:5" x14ac:dyDescent="0.2">
      <c r="A6">
        <f t="shared" si="1"/>
        <v>5</v>
      </c>
      <c r="B6" s="4">
        <v>966</v>
      </c>
      <c r="C6" t="str">
        <f t="shared" si="0"/>
        <v>Tienda_966</v>
      </c>
      <c r="D6" s="6" t="s">
        <v>56</v>
      </c>
      <c r="E6" t="s">
        <v>6</v>
      </c>
    </row>
    <row r="7" spans="1:5" x14ac:dyDescent="0.2">
      <c r="A7">
        <f t="shared" si="1"/>
        <v>6</v>
      </c>
      <c r="B7" s="4">
        <v>1145</v>
      </c>
      <c r="C7" t="str">
        <f t="shared" si="0"/>
        <v>Tienda_1145</v>
      </c>
      <c r="D7" s="6" t="s">
        <v>56</v>
      </c>
      <c r="E7" t="s">
        <v>6</v>
      </c>
    </row>
    <row r="8" spans="1:5" x14ac:dyDescent="0.2">
      <c r="A8">
        <f t="shared" si="1"/>
        <v>7</v>
      </c>
      <c r="B8" s="4">
        <v>1252</v>
      </c>
      <c r="C8" t="str">
        <f t="shared" si="0"/>
        <v>Tienda_1252</v>
      </c>
      <c r="D8" s="6" t="s">
        <v>56</v>
      </c>
      <c r="E8" t="s">
        <v>6</v>
      </c>
    </row>
    <row r="9" spans="1:5" x14ac:dyDescent="0.2">
      <c r="A9">
        <f t="shared" si="1"/>
        <v>8</v>
      </c>
      <c r="B9" s="4">
        <v>1303</v>
      </c>
      <c r="C9" t="str">
        <f t="shared" si="0"/>
        <v>Tienda_1303</v>
      </c>
      <c r="D9" s="6" t="s">
        <v>56</v>
      </c>
      <c r="E9" t="s">
        <v>6</v>
      </c>
    </row>
  </sheetData>
  <sortState xmlns:xlrd2="http://schemas.microsoft.com/office/spreadsheetml/2017/richdata2" ref="A2:E9">
    <sortCondition ref="B2:B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D1E9-28AB-4789-B105-EA98E1CA9930}">
  <sheetPr codeName="Hoja7"/>
  <dimension ref="A1:J12"/>
  <sheetViews>
    <sheetView tabSelected="1" zoomScale="85" zoomScaleNormal="85" workbookViewId="0">
      <selection activeCell="E22" sqref="E22"/>
    </sheetView>
  </sheetViews>
  <sheetFormatPr baseColWidth="10" defaultRowHeight="12.75" x14ac:dyDescent="0.2"/>
  <cols>
    <col min="1" max="1" width="29.375" style="7" customWidth="1"/>
    <col min="2" max="2" width="13.375" style="7" customWidth="1"/>
    <col min="3" max="3" width="20.25" style="15" customWidth="1"/>
    <col min="4" max="4" width="23.375" style="7" customWidth="1"/>
    <col min="5" max="5" width="23.5" style="7" customWidth="1"/>
    <col min="6" max="6" width="14.75" style="7" customWidth="1"/>
    <col min="7" max="7" width="19" style="7" customWidth="1"/>
    <col min="8" max="8" width="20.25" style="7" customWidth="1"/>
    <col min="9" max="9" width="20.5" style="7" customWidth="1"/>
    <col min="10" max="10" width="20" style="7" customWidth="1"/>
    <col min="11" max="16384" width="11" style="7"/>
  </cols>
  <sheetData>
    <row r="1" spans="1:10" x14ac:dyDescent="0.2">
      <c r="A1" s="16" t="s">
        <v>18</v>
      </c>
      <c r="B1" s="17" t="s">
        <v>19</v>
      </c>
      <c r="C1" s="18" t="s">
        <v>20</v>
      </c>
      <c r="D1" s="19" t="s">
        <v>21</v>
      </c>
      <c r="E1" s="16" t="s">
        <v>22</v>
      </c>
      <c r="F1" s="20" t="s">
        <v>23</v>
      </c>
      <c r="G1" s="21" t="s">
        <v>24</v>
      </c>
      <c r="H1" s="20" t="s">
        <v>25</v>
      </c>
      <c r="I1" s="20" t="s">
        <v>26</v>
      </c>
      <c r="J1" s="20" t="s">
        <v>27</v>
      </c>
    </row>
    <row r="2" spans="1:10" x14ac:dyDescent="0.2">
      <c r="A2" s="8" t="s">
        <v>37</v>
      </c>
      <c r="B2" s="9">
        <v>8280000</v>
      </c>
      <c r="C2" s="10">
        <v>45884</v>
      </c>
      <c r="D2" s="11" t="s">
        <v>13</v>
      </c>
      <c r="E2" s="8" t="s">
        <v>16</v>
      </c>
      <c r="F2" s="8" t="s">
        <v>53</v>
      </c>
      <c r="G2" s="12">
        <v>45918.882569444446</v>
      </c>
      <c r="H2" s="7" t="s">
        <v>55</v>
      </c>
      <c r="I2" s="7" t="s">
        <v>38</v>
      </c>
      <c r="J2" s="7" t="s">
        <v>17</v>
      </c>
    </row>
    <row r="3" spans="1:10" x14ac:dyDescent="0.2">
      <c r="A3" s="8" t="s">
        <v>33</v>
      </c>
      <c r="B3" s="9">
        <v>50220000</v>
      </c>
      <c r="C3" s="10">
        <v>45884</v>
      </c>
      <c r="D3" s="11" t="s">
        <v>9</v>
      </c>
      <c r="E3" s="8" t="s">
        <v>16</v>
      </c>
      <c r="F3" s="8" t="s">
        <v>53</v>
      </c>
      <c r="G3" s="12">
        <v>45918.882569444446</v>
      </c>
      <c r="H3" s="7" t="s">
        <v>55</v>
      </c>
      <c r="I3" s="7" t="s">
        <v>38</v>
      </c>
      <c r="J3" s="7" t="s">
        <v>17</v>
      </c>
    </row>
    <row r="4" spans="1:10" x14ac:dyDescent="0.2">
      <c r="A4" s="8" t="s">
        <v>36</v>
      </c>
      <c r="B4" s="9">
        <v>8646200</v>
      </c>
      <c r="C4" s="10">
        <v>45884</v>
      </c>
      <c r="D4" s="11" t="s">
        <v>12</v>
      </c>
      <c r="E4" s="8" t="s">
        <v>15</v>
      </c>
      <c r="F4" s="8" t="s">
        <v>52</v>
      </c>
      <c r="G4" s="12">
        <v>45918.882569444446</v>
      </c>
      <c r="H4" s="7" t="s">
        <v>55</v>
      </c>
      <c r="I4" s="7" t="s">
        <v>38</v>
      </c>
      <c r="J4" s="7" t="s">
        <v>17</v>
      </c>
    </row>
    <row r="5" spans="1:10" x14ac:dyDescent="0.2">
      <c r="A5" s="8" t="s">
        <v>35</v>
      </c>
      <c r="B5" s="9">
        <v>17012800</v>
      </c>
      <c r="C5" s="10">
        <v>45884</v>
      </c>
      <c r="D5" s="11" t="s">
        <v>11</v>
      </c>
      <c r="E5" s="8" t="s">
        <v>15</v>
      </c>
      <c r="F5" s="8" t="s">
        <v>52</v>
      </c>
      <c r="G5" s="12">
        <v>45918.882569444446</v>
      </c>
      <c r="H5" s="7" t="s">
        <v>55</v>
      </c>
      <c r="I5" s="7" t="s">
        <v>38</v>
      </c>
      <c r="J5" s="7" t="s">
        <v>17</v>
      </c>
    </row>
    <row r="6" spans="1:10" x14ac:dyDescent="0.2">
      <c r="A6" s="8" t="s">
        <v>34</v>
      </c>
      <c r="B6" s="9">
        <v>33218000</v>
      </c>
      <c r="C6" s="10">
        <v>45884</v>
      </c>
      <c r="D6" s="11" t="s">
        <v>10</v>
      </c>
      <c r="E6" s="8" t="s">
        <v>14</v>
      </c>
      <c r="F6" s="8" t="s">
        <v>54</v>
      </c>
      <c r="G6" s="12">
        <v>45918.882569444446</v>
      </c>
      <c r="H6" s="7" t="s">
        <v>55</v>
      </c>
      <c r="I6" s="7" t="s">
        <v>38</v>
      </c>
      <c r="J6" s="7" t="s">
        <v>17</v>
      </c>
    </row>
    <row r="7" spans="1:10" x14ac:dyDescent="0.2">
      <c r="A7" s="8" t="s">
        <v>46</v>
      </c>
      <c r="B7" s="13">
        <v>1428000</v>
      </c>
      <c r="C7" s="14" t="s">
        <v>45</v>
      </c>
      <c r="D7" s="8" t="s">
        <v>0</v>
      </c>
      <c r="E7" s="8" t="s">
        <v>0</v>
      </c>
      <c r="F7" s="8" t="s">
        <v>40</v>
      </c>
      <c r="G7" s="12">
        <v>45918.882569444446</v>
      </c>
      <c r="H7" s="8" t="s">
        <v>55</v>
      </c>
      <c r="I7" s="7" t="s">
        <v>38</v>
      </c>
      <c r="J7" s="7" t="s">
        <v>39</v>
      </c>
    </row>
    <row r="8" spans="1:10" x14ac:dyDescent="0.2">
      <c r="A8" s="8" t="s">
        <v>47</v>
      </c>
      <c r="B8" s="13">
        <v>80000</v>
      </c>
      <c r="C8" s="14" t="s">
        <v>45</v>
      </c>
      <c r="D8" s="8" t="s">
        <v>28</v>
      </c>
      <c r="E8" s="8" t="s">
        <v>28</v>
      </c>
      <c r="F8" s="8" t="s">
        <v>41</v>
      </c>
      <c r="G8" s="12">
        <v>45918.882569444446</v>
      </c>
      <c r="H8" s="8" t="s">
        <v>55</v>
      </c>
      <c r="I8" s="7" t="s">
        <v>38</v>
      </c>
      <c r="J8" s="7" t="s">
        <v>39</v>
      </c>
    </row>
    <row r="9" spans="1:10" x14ac:dyDescent="0.2">
      <c r="A9" s="8" t="s">
        <v>48</v>
      </c>
      <c r="B9" s="13">
        <v>6893600</v>
      </c>
      <c r="C9" s="14" t="s">
        <v>45</v>
      </c>
      <c r="D9" s="8" t="s">
        <v>29</v>
      </c>
      <c r="E9" s="8" t="s">
        <v>29</v>
      </c>
      <c r="F9" s="8" t="s">
        <v>41</v>
      </c>
      <c r="G9" s="12">
        <v>45918.882569444446</v>
      </c>
      <c r="H9" s="8" t="s">
        <v>55</v>
      </c>
      <c r="I9" s="7" t="s">
        <v>38</v>
      </c>
      <c r="J9" s="7" t="s">
        <v>39</v>
      </c>
    </row>
    <row r="10" spans="1:10" x14ac:dyDescent="0.2">
      <c r="A10" s="8" t="s">
        <v>49</v>
      </c>
      <c r="B10" s="13">
        <v>2304000</v>
      </c>
      <c r="C10" s="14" t="s">
        <v>45</v>
      </c>
      <c r="D10" s="8" t="s">
        <v>30</v>
      </c>
      <c r="E10" s="8" t="s">
        <v>30</v>
      </c>
      <c r="F10" s="8" t="s">
        <v>42</v>
      </c>
      <c r="G10" s="12">
        <v>45918.882569444446</v>
      </c>
      <c r="H10" s="8" t="s">
        <v>55</v>
      </c>
      <c r="I10" s="7" t="s">
        <v>38</v>
      </c>
      <c r="J10" s="7" t="s">
        <v>39</v>
      </c>
    </row>
    <row r="11" spans="1:10" x14ac:dyDescent="0.2">
      <c r="A11" s="8" t="s">
        <v>50</v>
      </c>
      <c r="B11" s="13">
        <v>2160000</v>
      </c>
      <c r="C11" s="14" t="s">
        <v>45</v>
      </c>
      <c r="D11" s="8" t="s">
        <v>31</v>
      </c>
      <c r="E11" s="8" t="s">
        <v>31</v>
      </c>
      <c r="F11" s="8" t="s">
        <v>43</v>
      </c>
      <c r="G11" s="12">
        <v>45918.882569444446</v>
      </c>
      <c r="H11" s="8" t="s">
        <v>55</v>
      </c>
      <c r="I11" s="7" t="s">
        <v>38</v>
      </c>
      <c r="J11" s="7" t="s">
        <v>39</v>
      </c>
    </row>
    <row r="12" spans="1:10" x14ac:dyDescent="0.2">
      <c r="A12" s="8" t="s">
        <v>51</v>
      </c>
      <c r="B12" s="13">
        <v>19224400</v>
      </c>
      <c r="C12" s="14" t="s">
        <v>45</v>
      </c>
      <c r="D12" s="8" t="s">
        <v>32</v>
      </c>
      <c r="E12" s="8" t="s">
        <v>32</v>
      </c>
      <c r="F12" s="8" t="s">
        <v>44</v>
      </c>
      <c r="G12" s="12">
        <v>45918.882569444446</v>
      </c>
      <c r="H12" s="8" t="s">
        <v>55</v>
      </c>
      <c r="I12" s="7" t="s">
        <v>38</v>
      </c>
      <c r="J12" s="7" t="s">
        <v>39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081D-7B97-4036-B763-C0455A1F32B9}">
  <sheetPr codeName="Hoja6"/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Confirmaciones DBC">
        <group id="groupAdmon" label="Admon">
          <button id="btnInicio1" label="Inicio" size="large" onAction="OnButton11Click" imageMso="RmsNavigationBarHome"/>
          <button id="btnGuardar" label="Guardar" size="large" onAction="OnButton12Click" imageMso="FileSave"/>
        </group>
        <group id="groupSoporteBanco1" label="Soportes Banco Diario">
          <button id="btnHojaGeneral" label="Hoja Banco Diario" size="large" onAction="OnButton21Click" imageMso="TableAutoFormat"/>
          <button id="btnProcesar" label="Procesar Banco Diario" size="large" onAction="OnButton22Click" imageMso="ObjectEditPoints"/>
          <button id="btnCargar" label="Carga Datos DBGeneral" size="large" onAction="OnButton23Click" imageMso="TableIndexes"/>
          <button id="btnBorrado" label="Borrar Datos Banco Diario" size="large" onAction="OnButton24Click" imageMso="Clear"/>
        </group>
        <group id="groupSoporteBanco2" label="Soportes Banco Tarde">
          <button id="btnHojaTarde" label="Hoja Banco Tarde" size="large" onAction="OnButton31Click" imageMso="DateAndTimeInsert"/>
          <button id="btnProcesar2" label="Procesar Banco Tarde" size="large" onAction="OnButton32Click" imageMso="SlideShowRehearseTimings"/>
          <button id="btnCargar2" label="Carga Datos DBGeneral" size="large" onAction="OnButton33Click" imageMso="WindowSaveWorkspace"/>
          <button id="btnBorrado2" label="Borrar Datos Banco Tarde" size="large" onAction="OnButton34Click" imageMso="Clear"/>
        </group>
        <group id="groupForms" label="Formulario">
          <button id="btnHojaForms" label="Hoja Forms" size="large" onAction="OnButton41Click" imageMso="InviteAttendees"/>
          <button id="btnProcesar3" label="Procesar Forms" size="large" onAction="OnButton42Click" imageMso="NewContact"/>
          <button id="btnValidar" label="Validar Tiendas" size="large" onAction="OnButton43Click" imageMso="MasterDocumentShow"/>
          <button id="btnBorrado3" label="Borrar Datos Forms" size="large" onAction="OnButton44Click" imageMso="Clear"/>
        </group>
        <group id="groupEnvios" label="Enviar Correos -  Tiendas">
          <button id="btnEnvioCorreos" label="Enviar Correos" size="large" onAction="OnButton52Click" imageMso="SendStatusReport"/>
        </group>
        <group id="grouptiendas" label="Tiendas">
          <button id="btnHojaTienda" label="Hoja Tiendas" size="large" onAction="OnButton61Click" imageMso="DataRangeProperties"/>
        </group>
        <group id="groupDBGENERAL" label="DB General">
          <button id="btnHojaDBGENERAL" label="Hoja DBGENERAL" size="large" onAction="OnButton71Click" imageMso="RecordsRefreshRecords"/>
        </group>
      </tab>
    </tabs>
  </ribbon>
</customUI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Ppl</vt:lpstr>
      <vt:lpstr>DB1</vt:lpstr>
      <vt:lpstr>DB2</vt:lpstr>
      <vt:lpstr>Forms1</vt:lpstr>
      <vt:lpstr>Tiendas</vt:lpstr>
      <vt:lpstr>DBGENERAL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Alejandro Escobar Obando</dc:creator>
  <cp:lastModifiedBy>Escobar, Andres</cp:lastModifiedBy>
  <dcterms:created xsi:type="dcterms:W3CDTF">2025-08-07T17:36:54Z</dcterms:created>
  <dcterms:modified xsi:type="dcterms:W3CDTF">2025-10-08T00:32:43Z</dcterms:modified>
</cp:coreProperties>
</file>