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6afafd6b306f40be" Type="http://schemas.microsoft.com/office/2006/relationships/ui/extensibility" Target="customUI/customUI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ace04294492391d/Documentos/00_MARTINS/"/>
    </mc:Choice>
  </mc:AlternateContent>
  <xr:revisionPtr revIDLastSave="4" documentId="8_{C080CC9E-7884-4085-B52D-83FF05457FAC}" xr6:coauthVersionLast="47" xr6:coauthVersionMax="47" xr10:uidLastSave="{2415D7F1-DEC4-4B5E-AB90-15323E692534}"/>
  <bookViews>
    <workbookView showSheetTabs="0" xWindow="-28920" yWindow="-4875" windowWidth="29040" windowHeight="15720" tabRatio="0" activeTab="5" xr2:uid="{962812CC-B20F-4F5B-9D8E-57B60E8DD8C4}"/>
  </bookViews>
  <sheets>
    <sheet name="Ppl" sheetId="1" r:id="rId1"/>
    <sheet name="DB1" sheetId="2" r:id="rId2"/>
    <sheet name="DB2" sheetId="5" r:id="rId3"/>
    <sheet name="Forms1" sheetId="3" r:id="rId4"/>
    <sheet name="Tiendas" sheetId="4" r:id="rId5"/>
    <sheet name="DBGENERAL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4" l="1"/>
  <c r="A6" i="4" s="1"/>
  <c r="A7" i="4" s="1"/>
  <c r="A8" i="4" s="1"/>
  <c r="A9" i="4" s="1"/>
  <c r="C3" i="4"/>
  <c r="C8" i="4"/>
  <c r="C5" i="4"/>
  <c r="C6" i="4"/>
  <c r="C7" i="4"/>
  <c r="C4" i="4"/>
  <c r="C2" i="4"/>
  <c r="C9" i="4"/>
  <c r="A3" i="4"/>
  <c r="A4" i="4"/>
</calcChain>
</file>

<file path=xl/sharedStrings.xml><?xml version="1.0" encoding="utf-8"?>
<sst xmlns="http://schemas.openxmlformats.org/spreadsheetml/2006/main" count="300" uniqueCount="121">
  <si>
    <t>37513359</t>
  </si>
  <si>
    <t>id</t>
  </si>
  <si>
    <t>Tienda</t>
  </si>
  <si>
    <t>Description</t>
  </si>
  <si>
    <t>Correo</t>
  </si>
  <si>
    <t>Responsable</t>
  </si>
  <si>
    <t>XXXX</t>
  </si>
  <si>
    <t>Confirmación de Consignaciones BDC</t>
  </si>
  <si>
    <t>LoadRef V1.0</t>
  </si>
  <si>
    <t>49597418//4017</t>
  </si>
  <si>
    <t>94521963//4017</t>
  </si>
  <si>
    <t>7706792//4017</t>
  </si>
  <si>
    <t>70696234//4017</t>
  </si>
  <si>
    <t>1000238838//4017</t>
  </si>
  <si>
    <t>94521963</t>
  </si>
  <si>
    <t>70696234</t>
  </si>
  <si>
    <t>1000238838</t>
  </si>
  <si>
    <t>Reporte Banco</t>
  </si>
  <si>
    <t>Token_DBGNR</t>
  </si>
  <si>
    <t>Valor_DBGNR</t>
  </si>
  <si>
    <t>Fecha_Trans_DBGNR</t>
  </si>
  <si>
    <t>ReferenciaORIG_DBGNR</t>
  </si>
  <si>
    <t>ReferenciaAJUS_DBGNR</t>
  </si>
  <si>
    <t>Tienda_DBGNR</t>
  </si>
  <si>
    <t>Fecha_Asig_DBGNR</t>
  </si>
  <si>
    <t>Status_envio_DBGNR</t>
  </si>
  <si>
    <t>Column_ADD_DBGNR</t>
  </si>
  <si>
    <t>Type_Report_DBGNR</t>
  </si>
  <si>
    <t>1049619925</t>
  </si>
  <si>
    <t>901088792</t>
  </si>
  <si>
    <t>92131747</t>
  </si>
  <si>
    <t>10662733</t>
  </si>
  <si>
    <t>1065995833</t>
  </si>
  <si>
    <t>49597418_15082025_50220000</t>
  </si>
  <si>
    <t>94521963_15082025_33218000</t>
  </si>
  <si>
    <t>7706792_15082025_17012800</t>
  </si>
  <si>
    <t>70696234_15082025_8646200</t>
  </si>
  <si>
    <t>1000238838_15082025_8280000</t>
  </si>
  <si>
    <t>Único Registro</t>
  </si>
  <si>
    <t>Reporte Add Tarde</t>
  </si>
  <si>
    <t>818</t>
  </si>
  <si>
    <t>854</t>
  </si>
  <si>
    <t>1145</t>
  </si>
  <si>
    <t>966</t>
  </si>
  <si>
    <t>1303</t>
  </si>
  <si>
    <t>19/08/2025</t>
  </si>
  <si>
    <t>37513359_19082025_1428000</t>
  </si>
  <si>
    <t>1049619925_19082025_80000</t>
  </si>
  <si>
    <t>901088792_19082025_6893600</t>
  </si>
  <si>
    <t>92131747_19082025_2304000</t>
  </si>
  <si>
    <t>10662733_19082025_2160000</t>
  </si>
  <si>
    <t>1065995833_19082025_19224400</t>
  </si>
  <si>
    <t>913</t>
  </si>
  <si>
    <t>685</t>
  </si>
  <si>
    <t>1252</t>
  </si>
  <si>
    <t>Enviado</t>
  </si>
  <si>
    <t>andrescobando@gmail.com</t>
  </si>
  <si>
    <t>Token_Forms1</t>
  </si>
  <si>
    <t>Fecha_Forms1</t>
  </si>
  <si>
    <t>ReferenciaORIG_Forms1</t>
  </si>
  <si>
    <t>Valor_Forms1</t>
  </si>
  <si>
    <t>Tienda_Forms1</t>
  </si>
  <si>
    <t>1104422369_04082025_8000000</t>
  </si>
  <si>
    <t>40778055_04082025_3000000</t>
  </si>
  <si>
    <t>37513359_04082025_1360800</t>
  </si>
  <si>
    <t>40778055_04082025_2180100</t>
  </si>
  <si>
    <t>9022406_04082025_1959000</t>
  </si>
  <si>
    <t>901388613_04082025_2289840</t>
  </si>
  <si>
    <t>14950957_04082025_2900000</t>
  </si>
  <si>
    <t>14950957_04082025_776000</t>
  </si>
  <si>
    <t>1126454330_04082025_1020000</t>
  </si>
  <si>
    <t>25271089_04082025_2580000</t>
  </si>
  <si>
    <t>1129571413_04082025_400000</t>
  </si>
  <si>
    <t>25271089_04082025_9500000</t>
  </si>
  <si>
    <t>40778055_04082025_2122000</t>
  </si>
  <si>
    <t>Varios</t>
  </si>
  <si>
    <t>83237637</t>
  </si>
  <si>
    <t>10000900480569VENTAS BODEGA DEL CA00000000001345020250924B000000090000000197211000000000030400002897579                                                                                                          .</t>
  </si>
  <si>
    <t>60000000000000NA                  005600078000000000000000008800000000200000000N30400002897                                                 0000000020000000000000000000000OK12025092400   091091700000000       .</t>
  </si>
  <si>
    <t>60000000000000NA                  005600078000000000000000008800000000300000000N30400002897                                                 0000000030000000000000000000000OK12025092400   091091700000000       .</t>
  </si>
  <si>
    <t>60000900553029SOLUCIONES INTEGRALE005600078000000000000000006700000000215320000S900553029                     3005122540                    0000000021532000000000000000000OK12025092400   151027600000000       .</t>
  </si>
  <si>
    <t>60000000000000NA                  005600078000000000000000008800000000200000000N37080084                                                    0000000020000000000000000000000OK12025092400   091091700000000       .</t>
  </si>
  <si>
    <t>60000000000000NA                  005600078000000000000000008800000000177800000N37080084                                                    0000000017780000000000000000000OK12025092400   091091700000000       .</t>
  </si>
  <si>
    <t>60000000000000NA                  005600078000000000000000008800000000280800000N1082214158                                                  0000000028080000000000000000000OK12025092400   091091700000000       .</t>
  </si>
  <si>
    <t>60000000000000NA                  005600078000000000000000008800000000280800000N83237637                                                    0000000028080000000000000000000OK12025092400   091091700000000       .</t>
  </si>
  <si>
    <t>60000000000000NA                  005600078000000000000000008800000000117390000N1193524860                                                  0000000011739000000000000000000OK12025092400   091091700000000</t>
  </si>
  <si>
    <t>30400002897</t>
  </si>
  <si>
    <t>24/09/2025</t>
  </si>
  <si>
    <t>900553029</t>
  </si>
  <si>
    <t>37080084</t>
  </si>
  <si>
    <t>1082214158</t>
  </si>
  <si>
    <t>1193524860</t>
  </si>
  <si>
    <t>30400002897_24092025_2000000</t>
  </si>
  <si>
    <t>30400002897_24092025_3000000</t>
  </si>
  <si>
    <t>900553029_24092025_2153200</t>
  </si>
  <si>
    <t>37080084_24092025_2000000</t>
  </si>
  <si>
    <t>37080084_24092025_1778000</t>
  </si>
  <si>
    <t>1082214158_24092025_2808000</t>
  </si>
  <si>
    <t>83237637_24092025_2808000</t>
  </si>
  <si>
    <t>1193524860_24092025_1173900</t>
  </si>
  <si>
    <t>Statement No.</t>
  </si>
  <si>
    <t>Trans. No.</t>
  </si>
  <si>
    <t>Credit</t>
  </si>
  <si>
    <t>Transaction Date</t>
  </si>
  <si>
    <t>Value Date</t>
  </si>
  <si>
    <t>Document</t>
  </si>
  <si>
    <t>Additional Description</t>
  </si>
  <si>
    <t>Comments</t>
  </si>
  <si>
    <t>Common Code</t>
  </si>
  <si>
    <t>Bank Trans Code</t>
  </si>
  <si>
    <t xml:space="preserve">Statement Code </t>
  </si>
  <si>
    <t>Current Balance</t>
  </si>
  <si>
    <t>4017 CONSIG NAL REFERENCIA EFECTIVO</t>
  </si>
  <si>
    <t>CONSIG NAL REFERENCIA E</t>
  </si>
  <si>
    <t>91</t>
  </si>
  <si>
    <t>401</t>
  </si>
  <si>
    <t>TRFR</t>
  </si>
  <si>
    <t>CONSIG NAL REFERENCIA EF</t>
  </si>
  <si>
    <t>CONSIG NAL REFERENCIA</t>
  </si>
  <si>
    <t>49597418</t>
  </si>
  <si>
    <t>7706792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</si>
</sst>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dd/mm/yyyy"/>
  </numFmts>
  <fonts count="12" x14ac:knownFonts="1">
    <font>
      <sz val="11"/>
      <color theme="1"/>
      <name val="Century Schoolbook"/>
      <family val="2"/>
      <scheme val="minor"/>
    </font>
    <font>
      <b/>
      <sz val="11"/>
      <color theme="1"/>
      <name val="Century Schoolbook"/>
      <family val="2"/>
      <scheme val="minor"/>
    </font>
    <font>
      <b/>
      <sz val="26"/>
      <color rgb="FFFF0000"/>
      <name val="Tahoma"/>
      <family val="2"/>
    </font>
    <font>
      <b/>
      <sz val="10"/>
      <color theme="1"/>
      <name val="Arial"/>
      <family val="2"/>
    </font>
    <font>
      <b/>
      <sz val="10"/>
      <color indexed="8"/>
      <name val="Arial"/>
      <family val="2"/>
    </font>
    <font>
      <sz val="10"/>
      <color theme="1"/>
      <name val="Arial"/>
      <family val="2"/>
    </font>
    <font>
      <sz val="10"/>
      <color indexed="8"/>
      <name val="Arial"/>
      <family val="2"/>
    </font>
    <font>
      <u/>
      <sz val="11"/>
      <color theme="10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b/>
      <sz val="11"/>
      <color theme="1"/>
      <name val="Century Schoolbook"/>
      <family val="1"/>
      <scheme val="minor"/>
    </font>
    <font>
      <sz val="11"/>
      <color rgb="FF000000"/>
      <name val="Courier New"/>
      <family val="3"/>
    </font>
    <font>
      <sz val="8.25"/>
      <color indexed="8"/>
      <name val="Microsoft Sans Serif"/>
      <family val="2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7" fillId="0" borderId="0" applyNumberFormat="0" applyFill="0" applyBorder="0" applyAlignment="0" applyProtection="0"/>
    <xf numFmtId="164" fontId="8" fillId="0" borderId="0" applyFont="0" applyFill="0" applyBorder="0" applyAlignment="0" applyProtection="0"/>
  </cellStyleXfs>
  <cellXfs count="49">
    <xf numFmtId="0" fontId="0" fillId="0" borderId="0" xfId="0"/>
    <xf numFmtId="165" fontId="0" fillId="0" borderId="0" xfId="0" applyNumberFormat="1"/>
    <xf numFmtId="49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/>
    <xf numFmtId="0" fontId="7" fillId="0" borderId="0" xfId="1" applyNumberFormat="1"/>
    <xf numFmtId="0" fontId="5" fillId="0" borderId="0" xfId="0" applyFont="1" applyProtection="1">
      <protection locked="0"/>
    </xf>
    <xf numFmtId="49" fontId="5" fillId="0" borderId="0" xfId="0" applyNumberFormat="1" applyFont="1" applyProtection="1">
      <protection locked="0"/>
    </xf>
    <xf numFmtId="3" fontId="6" fillId="0" borderId="0" xfId="0" applyNumberFormat="1" applyFont="1" applyProtection="1">
      <protection locked="0"/>
    </xf>
    <xf numFmtId="165" fontId="6" fillId="0" borderId="0" xfId="0" applyNumberFormat="1" applyFont="1" applyAlignment="1" applyProtection="1">
      <alignment horizontal="right"/>
      <protection locked="0"/>
    </xf>
    <xf numFmtId="49" fontId="6" fillId="0" borderId="0" xfId="0" applyNumberFormat="1" applyFont="1" applyProtection="1">
      <protection locked="0"/>
    </xf>
    <xf numFmtId="165" fontId="5" fillId="0" borderId="0" xfId="0" applyNumberFormat="1" applyFont="1" applyProtection="1">
      <protection locked="0"/>
    </xf>
    <xf numFmtId="3" fontId="5" fillId="0" borderId="0" xfId="0" applyNumberFormat="1" applyFont="1" applyProtection="1">
      <protection locked="0"/>
    </xf>
    <xf numFmtId="165" fontId="5" fillId="0" borderId="0" xfId="0" applyNumberFormat="1" applyFont="1" applyAlignment="1" applyProtection="1">
      <alignment horizontal="right"/>
      <protection locked="0"/>
    </xf>
    <xf numFmtId="0" fontId="5" fillId="0" borderId="0" xfId="0" applyFont="1" applyAlignment="1" applyProtection="1">
      <alignment horizontal="right"/>
      <protection locked="0"/>
    </xf>
    <xf numFmtId="49" fontId="3" fillId="0" borderId="0" xfId="0" applyNumberFormat="1" applyFont="1" applyProtection="1">
      <protection locked="0"/>
    </xf>
    <xf numFmtId="3" fontId="4" fillId="0" borderId="0" xfId="0" applyNumberFormat="1" applyFont="1" applyProtection="1">
      <protection locked="0"/>
    </xf>
    <xf numFmtId="165" fontId="4" fillId="0" borderId="0" xfId="0" applyNumberFormat="1" applyFont="1" applyAlignment="1" applyProtection="1">
      <alignment horizontal="right"/>
      <protection locked="0"/>
    </xf>
    <xf numFmtId="0" fontId="4" fillId="0" borderId="0" xfId="0" applyFont="1" applyProtection="1">
      <protection locked="0"/>
    </xf>
    <xf numFmtId="0" fontId="3" fillId="0" borderId="0" xfId="0" applyFont="1" applyProtection="1">
      <protection locked="0"/>
    </xf>
    <xf numFmtId="165" fontId="3" fillId="0" borderId="0" xfId="0" applyNumberFormat="1" applyFont="1" applyProtection="1">
      <protection locked="0"/>
    </xf>
    <xf numFmtId="3" fontId="0" fillId="0" borderId="0" xfId="2" applyNumberFormat="1" applyFont="1"/>
    <xf numFmtId="49" fontId="9" fillId="0" borderId="0" xfId="0" applyNumberFormat="1" applyFont="1"/>
    <xf numFmtId="165" fontId="9" fillId="0" borderId="0" xfId="0" applyNumberFormat="1" applyFont="1"/>
    <xf numFmtId="49" fontId="9" fillId="0" borderId="0" xfId="0" applyNumberFormat="1" applyFont="1" applyAlignment="1">
      <alignment horizontal="center"/>
    </xf>
    <xf numFmtId="3" fontId="9" fillId="0" borderId="0" xfId="0" applyNumberFormat="1" applyFont="1"/>
    <xf numFmtId="0" fontId="10" fillId="0" borderId="0" xfId="0" applyFont="1" applyAlignment="1">
      <alignment horizontal="left" vertical="center"/>
    </xf>
    <xf numFmtId="0" fontId="11" fillId="3" borderId="0" xfId="0" applyFont="1" applyFill="1"/>
    <xf numFmtId="0" fontId="11" fillId="0" borderId="0" xfId="0" applyFont="1"/>
    <xf numFmtId="4" fontId="11" fillId="0" borderId="0" xfId="0" applyNumberFormat="1" applyFont="1"/>
    <xf numFmtId="14" fontId="11" fillId="0" borderId="0" xfId="0" applyNumberFormat="1" applyFont="1"/>
    <xf numFmtId="49" fontId="5" fillId="0" borderId="0" xfId="0" applyNumberFormat="1" applyFont="1"/>
    <xf numFmtId="3" fontId="5" fillId="0" borderId="0" xfId="0" applyNumberFormat="1" applyFont="1"/>
    <xf numFmtId="165" fontId="5" fillId="0" borderId="0" xfId="0" applyNumberFormat="1" applyFont="1" applyAlignment="1">
      <alignment horizontal="right"/>
    </xf>
    <xf numFmtId="165" fontId="5" fillId="0" borderId="0" xfId="0" applyNumberFormat="1" applyFont="1"/>
    <xf numFmtId="0" fontId="5" fillId="0" borderId="0" xfId="0" applyFont="1"/>
    <xf numFmtId="3" fontId="6" fillId="0" borderId="0" xfId="0" applyNumberFormat="1" applyFont="1"/>
    <xf numFmtId="165" fontId="6" fillId="0" borderId="0" xfId="0" applyNumberFormat="1" applyFont="1" applyAlignment="1">
      <alignment horizontal="right"/>
    </xf>
    <xf numFmtId="0" fontId="6" fillId="0" borderId="0" xfId="0" applyFont="1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</cellXfs>
  <cellStyles count="3">
    <cellStyle name="Hipervínculo" xfId="1" builtinId="8"/>
    <cellStyle name="Millares" xfId="2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121627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8081E9BC-0EFF-0DE4-B79F-7335D0C69A60}"/>
            </a:ext>
          </a:extLst>
        </xdr:cNvPr>
        <xdr:cNvSpPr>
          <a:spLocks noChangeAspect="1" noChangeArrowheads="1"/>
        </xdr:cNvSpPr>
      </xdr:nvSpPr>
      <xdr:spPr bwMode="auto">
        <a:xfrm>
          <a:off x="1524000" y="133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461963</xdr:colOff>
      <xdr:row>9</xdr:row>
      <xdr:rowOff>87311</xdr:rowOff>
    </xdr:from>
    <xdr:to>
      <xdr:col>11</xdr:col>
      <xdr:colOff>989745</xdr:colOff>
      <xdr:row>15</xdr:row>
      <xdr:rowOff>54916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158FC10-33E9-EF48-5E32-D7F81FFCA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9963" y="2039936"/>
          <a:ext cx="6372225" cy="107397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12</xdr:col>
      <xdr:colOff>942975</xdr:colOff>
      <xdr:row>12</xdr:row>
      <xdr:rowOff>120650</xdr:rowOff>
    </xdr:from>
    <xdr:to>
      <xdr:col>16384</xdr:col>
      <xdr:colOff>3609975</xdr:colOff>
      <xdr:row>1048576</xdr:row>
      <xdr:rowOff>882650</xdr:rowOff>
    </xdr:to>
    <xdr:sp macro="" textlink="">
      <xdr:nvSpPr>
        <xdr:cNvPr id="5" name="HojaActual">
          <a:extLst>
            <a:ext uri="{FF2B5EF4-FFF2-40B4-BE49-F238E27FC236}">
              <a16:creationId xmlns:a16="http://schemas.microsoft.com/office/drawing/2014/main" id="{17F0E8A1-F2CB-0619-3A1F-CE65E597D647}"/>
            </a:ext>
          </a:extLst>
        </xdr:cNvPr>
        <xdr:cNvSpPr txBox="1"/>
      </xdr:nvSpPr>
      <xdr:spPr>
        <a:xfrm>
          <a:off x="11430000" y="2540000"/>
          <a:ext cx="3810000" cy="190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s-CO" sz="1100"/>
        </a:p>
      </xdr:txBody>
    </xdr:sp>
    <xdr:clientData/>
  </xdr:twoCellAnchor>
  <xdr:twoCellAnchor>
    <xdr:from>
      <xdr:col>12</xdr:col>
      <xdr:colOff>942975</xdr:colOff>
      <xdr:row>12</xdr:row>
      <xdr:rowOff>120650</xdr:rowOff>
    </xdr:from>
    <xdr:to>
      <xdr:col>16384</xdr:col>
      <xdr:colOff>3609975</xdr:colOff>
      <xdr:row>1048576</xdr:row>
      <xdr:rowOff>882650</xdr:rowOff>
    </xdr:to>
    <xdr:sp macro="" textlink="">
      <xdr:nvSpPr>
        <xdr:cNvPr id="7" name="HojaActual">
          <a:extLst>
            <a:ext uri="{FF2B5EF4-FFF2-40B4-BE49-F238E27FC236}">
              <a16:creationId xmlns:a16="http://schemas.microsoft.com/office/drawing/2014/main" id="{8BEA9094-43BB-3565-4071-8750E15B103E}"/>
            </a:ext>
          </a:extLst>
        </xdr:cNvPr>
        <xdr:cNvSpPr txBox="1"/>
      </xdr:nvSpPr>
      <xdr:spPr>
        <a:xfrm>
          <a:off x="11430000" y="2540000"/>
          <a:ext cx="3810000" cy="190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s-CO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228600</xdr:colOff>
      <xdr:row>14</xdr:row>
      <xdr:rowOff>6350</xdr:rowOff>
    </xdr:from>
    <xdr:to>
      <xdr:col>17</xdr:col>
      <xdr:colOff>685800</xdr:colOff>
      <xdr:row>24</xdr:row>
      <xdr:rowOff>101600</xdr:rowOff>
    </xdr:to>
    <xdr:sp macro="" textlink="">
      <xdr:nvSpPr>
        <xdr:cNvPr id="3" name="HojaActual">
          <a:extLst>
            <a:ext uri="{FF2B5EF4-FFF2-40B4-BE49-F238E27FC236}">
              <a16:creationId xmlns:a16="http://schemas.microsoft.com/office/drawing/2014/main" id="{5C8B7249-691D-D286-B4DD-EDFD21F4BD0A}"/>
            </a:ext>
          </a:extLst>
        </xdr:cNvPr>
        <xdr:cNvSpPr txBox="1"/>
      </xdr:nvSpPr>
      <xdr:spPr>
        <a:xfrm>
          <a:off x="11430000" y="2540000"/>
          <a:ext cx="3810000" cy="190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CO" sz="1100"/>
            <a:t>Estás en la hoja: Banco Diario</a:t>
          </a:r>
        </a:p>
        <a:p>
          <a:r>
            <a:rPr lang="es-CO" sz="1100"/>
            <a:t>&gt;&gt;&gt;&gt;&gt;&gt; MODULO- Soporte Banco Diario &lt;&lt;&lt;&lt;&lt;&lt; </a:t>
          </a:r>
        </a:p>
        <a:p>
          <a:r>
            <a:rPr lang="es-CO" sz="1100"/>
            <a:t>&gt;&gt; Información Generada por el Banco en la mañana</a:t>
          </a:r>
        </a:p>
        <a:p>
          <a:r>
            <a:rPr lang="es-CO" sz="1100"/>
            <a:t>&gt;&gt; Pegar en la Celda A1</a:t>
          </a:r>
        </a:p>
        <a:p>
          <a:r>
            <a:rPr lang="es-CO" sz="1100"/>
            <a:t>&gt;&gt; Dar click en -&gt; Procesar Banco Diario &lt;-</a:t>
          </a:r>
        </a:p>
        <a:p>
          <a:r>
            <a:rPr lang="es-CO" sz="1100"/>
            <a:t>&gt;&gt; Dar click en -&gt; Cargar Datos DBGENERAL &lt;-</a:t>
          </a:r>
        </a:p>
        <a:p>
          <a:r>
            <a:rPr lang="es-CO" sz="1100"/>
            <a:t>&gt;&gt; Dar click en -&gt; Borrar Datos Banco Diario &lt;-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142875</xdr:colOff>
      <xdr:row>13</xdr:row>
      <xdr:rowOff>92075</xdr:rowOff>
    </xdr:from>
    <xdr:to>
      <xdr:col>15</xdr:col>
      <xdr:colOff>600075</xdr:colOff>
      <xdr:row>24</xdr:row>
      <xdr:rowOff>6350</xdr:rowOff>
    </xdr:to>
    <xdr:sp macro="" textlink="">
      <xdr:nvSpPr>
        <xdr:cNvPr id="3" name="HojaActual">
          <a:extLst>
            <a:ext uri="{FF2B5EF4-FFF2-40B4-BE49-F238E27FC236}">
              <a16:creationId xmlns:a16="http://schemas.microsoft.com/office/drawing/2014/main" id="{37C0E3AB-FB6C-47D8-71DB-7D41130576D1}"/>
            </a:ext>
          </a:extLst>
        </xdr:cNvPr>
        <xdr:cNvSpPr txBox="1"/>
      </xdr:nvSpPr>
      <xdr:spPr>
        <a:xfrm>
          <a:off x="11430000" y="2540000"/>
          <a:ext cx="3810000" cy="190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CO" sz="1100"/>
            <a:t>Estás en la hoja: Banco Tarde</a:t>
          </a:r>
        </a:p>
        <a:p>
          <a:r>
            <a:rPr lang="es-CO" sz="1100"/>
            <a:t>&gt;&gt;&gt;&gt;&gt;&gt; MODULO- Soporte Banco Tarde &lt;&lt;&lt;&lt;&lt;&lt; </a:t>
          </a:r>
        </a:p>
        <a:p>
          <a:r>
            <a:rPr lang="es-CO" sz="1100"/>
            <a:t>&gt;&gt; Información Generada por el Banco en la tarde</a:t>
          </a:r>
        </a:p>
        <a:p>
          <a:r>
            <a:rPr lang="es-CO" sz="1100"/>
            <a:t>&gt;&gt; Pegar en la Celda A1</a:t>
          </a:r>
        </a:p>
        <a:p>
          <a:r>
            <a:rPr lang="es-CO" sz="1100"/>
            <a:t>&gt;&gt; Dar click en -&gt; Procesar Banco Tarde &lt;-</a:t>
          </a:r>
        </a:p>
        <a:p>
          <a:r>
            <a:rPr lang="es-CO" sz="1100"/>
            <a:t>&gt;&gt; Dar click en -&gt; Cargar Datos DBGENERAL &lt;-</a:t>
          </a:r>
        </a:p>
        <a:p>
          <a:r>
            <a:rPr lang="es-CO" sz="1100"/>
            <a:t>&gt;&gt; Dar click en -&gt; Borrar Datos Banco Tarde &lt;-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571500</xdr:colOff>
      <xdr:row>13</xdr:row>
      <xdr:rowOff>177800</xdr:rowOff>
    </xdr:from>
    <xdr:to>
      <xdr:col>16</xdr:col>
      <xdr:colOff>190500</xdr:colOff>
      <xdr:row>24</xdr:row>
      <xdr:rowOff>92075</xdr:rowOff>
    </xdr:to>
    <xdr:sp macro="" textlink="">
      <xdr:nvSpPr>
        <xdr:cNvPr id="3" name="HojaActual">
          <a:extLst>
            <a:ext uri="{FF2B5EF4-FFF2-40B4-BE49-F238E27FC236}">
              <a16:creationId xmlns:a16="http://schemas.microsoft.com/office/drawing/2014/main" id="{FBD15A00-F8C0-2E64-DCC6-29E632605DE5}"/>
            </a:ext>
          </a:extLst>
        </xdr:cNvPr>
        <xdr:cNvSpPr txBox="1"/>
      </xdr:nvSpPr>
      <xdr:spPr>
        <a:xfrm>
          <a:off x="11430000" y="2540000"/>
          <a:ext cx="3810000" cy="190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CO" sz="1100"/>
            <a:t>Estás en la hoja: Forms Enviados</a:t>
          </a:r>
        </a:p>
        <a:p>
          <a:r>
            <a:rPr lang="es-CO" sz="1100"/>
            <a:t>&gt;&gt;&gt;&gt;&gt;&gt; MODULO- Formulario &lt;&lt;&lt;&lt;&lt;&lt; </a:t>
          </a:r>
        </a:p>
        <a:p>
          <a:r>
            <a:rPr lang="es-CO" sz="1100"/>
            <a:t>&gt;&gt; Información Enviada por Forms</a:t>
          </a:r>
        </a:p>
        <a:p>
          <a:r>
            <a:rPr lang="es-CO" sz="1100"/>
            <a:t>&gt;&gt; Pegar en la Celda A1</a:t>
          </a:r>
        </a:p>
        <a:p>
          <a:r>
            <a:rPr lang="es-CO" sz="1100"/>
            <a:t>&gt;&gt; Dar click en -&gt; Procesar Forms &lt;-</a:t>
          </a:r>
        </a:p>
        <a:p>
          <a:r>
            <a:rPr lang="es-CO" sz="1100"/>
            <a:t>&gt;&gt; Dar click en -&gt; Validar Tiendas &lt;-</a:t>
          </a:r>
        </a:p>
        <a:p>
          <a:r>
            <a:rPr lang="es-CO" sz="1100"/>
            <a:t>&gt;&gt; Dar click en -&gt; Borrar Datos Banco Forms &lt;-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104775</xdr:colOff>
      <xdr:row>13</xdr:row>
      <xdr:rowOff>177800</xdr:rowOff>
    </xdr:from>
    <xdr:to>
      <xdr:col>17</xdr:col>
      <xdr:colOff>561975</xdr:colOff>
      <xdr:row>24</xdr:row>
      <xdr:rowOff>92075</xdr:rowOff>
    </xdr:to>
    <xdr:sp macro="" textlink="">
      <xdr:nvSpPr>
        <xdr:cNvPr id="3" name="HojaActual">
          <a:extLst>
            <a:ext uri="{FF2B5EF4-FFF2-40B4-BE49-F238E27FC236}">
              <a16:creationId xmlns:a16="http://schemas.microsoft.com/office/drawing/2014/main" id="{0BC49893-4049-1B08-C5C5-03DED62DB859}"/>
            </a:ext>
          </a:extLst>
        </xdr:cNvPr>
        <xdr:cNvSpPr txBox="1"/>
      </xdr:nvSpPr>
      <xdr:spPr>
        <a:xfrm>
          <a:off x="11430000" y="2540000"/>
          <a:ext cx="3810000" cy="190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CO" sz="1100"/>
            <a:t>Estás en la hoja: Tiendas</a:t>
          </a:r>
        </a:p>
        <a:p>
          <a:r>
            <a:rPr lang="es-CO" sz="1100"/>
            <a:t>&gt;&gt;&gt;&gt;&gt;&gt; MODULO- Tiendas &lt;&lt;&lt;&lt;&lt;&lt; </a:t>
          </a:r>
        </a:p>
        <a:p>
          <a:r>
            <a:rPr lang="es-CO" sz="1100"/>
            <a:t>&gt;&gt; Base de Datos de las Tiendas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838200</xdr:colOff>
      <xdr:row>15</xdr:row>
      <xdr:rowOff>111125</xdr:rowOff>
    </xdr:from>
    <xdr:to>
      <xdr:col>10</xdr:col>
      <xdr:colOff>19050</xdr:colOff>
      <xdr:row>27</xdr:row>
      <xdr:rowOff>73025</xdr:rowOff>
    </xdr:to>
    <xdr:sp macro="" textlink="">
      <xdr:nvSpPr>
        <xdr:cNvPr id="2" name="HojaActual">
          <a:extLst>
            <a:ext uri="{FF2B5EF4-FFF2-40B4-BE49-F238E27FC236}">
              <a16:creationId xmlns:a16="http://schemas.microsoft.com/office/drawing/2014/main" id="{BD819312-855B-B37D-2781-72BDAFF9AC73}"/>
            </a:ext>
          </a:extLst>
        </xdr:cNvPr>
        <xdr:cNvSpPr txBox="1"/>
      </xdr:nvSpPr>
      <xdr:spPr>
        <a:xfrm>
          <a:off x="11430000" y="2540000"/>
          <a:ext cx="3810000" cy="1905000"/>
        </a:xfrm>
        <a:prstGeom prst="rect">
          <a:avLst/>
        </a:prstGeom>
        <a:solidFill>
          <a:srgbClr val="3366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CO" sz="1100"/>
            <a:t>Estás en la hoja: BASE GENERAL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Vista">
  <a:themeElements>
    <a:clrScheme name="Vista">
      <a:dk1>
        <a:srgbClr val="000000"/>
      </a:dk1>
      <a:lt1>
        <a:srgbClr val="FFFFFF"/>
      </a:lt1>
      <a:dk2>
        <a:srgbClr val="46464A"/>
      </a:dk2>
      <a:lt2>
        <a:srgbClr val="D6D3CC"/>
      </a:lt2>
      <a:accent1>
        <a:srgbClr val="6F6F74"/>
      </a:accent1>
      <a:accent2>
        <a:srgbClr val="92A9B9"/>
      </a:accent2>
      <a:accent3>
        <a:srgbClr val="A7B789"/>
      </a:accent3>
      <a:accent4>
        <a:srgbClr val="B9A489"/>
      </a:accent4>
      <a:accent5>
        <a:srgbClr val="8D6374"/>
      </a:accent5>
      <a:accent6>
        <a:srgbClr val="9B7362"/>
      </a:accent6>
      <a:hlink>
        <a:srgbClr val="67AABF"/>
      </a:hlink>
      <a:folHlink>
        <a:srgbClr val="ABAFA5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Reflejo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alpha val="100000"/>
                <a:satMod val="140000"/>
                <a:lumMod val="105000"/>
              </a:schemeClr>
            </a:gs>
            <a:gs pos="41000">
              <a:schemeClr val="phClr">
                <a:tint val="57000"/>
                <a:satMod val="160000"/>
                <a:lumMod val="99000"/>
              </a:schemeClr>
            </a:gs>
            <a:gs pos="100000">
              <a:schemeClr val="phClr">
                <a:tint val="80000"/>
                <a:satMod val="180000"/>
                <a:lumMod val="104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7000"/>
                <a:satMod val="115000"/>
                <a:lumMod val="114000"/>
              </a:schemeClr>
            </a:gs>
            <a:gs pos="60000">
              <a:schemeClr val="phClr">
                <a:tint val="100000"/>
                <a:shade val="96000"/>
                <a:satMod val="100000"/>
                <a:lumMod val="108000"/>
              </a:schemeClr>
            </a:gs>
            <a:gs pos="100000">
              <a:schemeClr val="phClr">
                <a:shade val="91000"/>
                <a:satMod val="100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28000"/>
              </a:srgbClr>
            </a:outerShdw>
          </a:effectLst>
        </a:effectStyle>
        <a:effectStyle>
          <a:effectLst>
            <a:outerShdw blurRad="50800" dist="31750" dir="5400000" sy="98000" rotWithShape="0">
              <a:srgbClr val="000000">
                <a:alpha val="47000"/>
              </a:srgbClr>
            </a:outerShdw>
          </a:effectLst>
          <a:scene3d>
            <a:camera prst="orthographicFront">
              <a:rot lat="0" lon="0" rev="0"/>
            </a:camera>
            <a:lightRig rig="twoPt" dir="t">
              <a:rot lat="0" lon="0" rev="4800000"/>
            </a:lightRig>
          </a:scene3d>
          <a:sp3d prstMaterial="matte">
            <a:bevelT w="25400" h="44450"/>
          </a:sp3d>
        </a:effectStyle>
        <a:effectStyle>
          <a:effectLst>
            <a:reflection blurRad="25400" stA="32000" endPos="28000" dist="8889" dir="5400000" sy="-100000" rotWithShape="0"/>
          </a:effectLst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36173-3A02-46CB-8B5F-48E543961531}">
  <sheetPr codeName="Hoja1"/>
  <dimension ref="A1:M16"/>
  <sheetViews>
    <sheetView showGridLines="0" showRowColHeaders="0" zoomScale="120" zoomScaleNormal="120" workbookViewId="0">
      <pane activePane="bottomRight" state="frozen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0" defaultRowHeight="14.25" zeroHeight="1" x14ac:dyDescent="0.2"/>
  <cols>
    <col min="1" max="11" width="11" customWidth="1"/>
    <col min="12" max="12" width="16.625" customWidth="1"/>
    <col min="13" max="13" width="15" customWidth="1"/>
    <col min="14" max="16384" width="10" hidden="1"/>
  </cols>
  <sheetData>
    <row r="1" spans="2:12" x14ac:dyDescent="0.2"/>
    <row r="2" spans="2:12" x14ac:dyDescent="0.2"/>
    <row r="3" spans="2:12" ht="15" thickBot="1" x14ac:dyDescent="0.25"/>
    <row r="4" spans="2:12" ht="32.25" customHeight="1" x14ac:dyDescent="0.2">
      <c r="B4" s="40" t="s">
        <v>7</v>
      </c>
      <c r="C4" s="41"/>
      <c r="D4" s="41"/>
      <c r="E4" s="41"/>
      <c r="F4" s="41"/>
      <c r="G4" s="41"/>
      <c r="H4" s="41"/>
      <c r="I4" s="41"/>
      <c r="J4" s="41"/>
      <c r="K4" s="42"/>
    </row>
    <row r="5" spans="2:12" x14ac:dyDescent="0.2">
      <c r="B5" s="43"/>
      <c r="C5" s="44"/>
      <c r="D5" s="44"/>
      <c r="E5" s="44"/>
      <c r="F5" s="44"/>
      <c r="G5" s="44"/>
      <c r="H5" s="44"/>
      <c r="I5" s="44"/>
      <c r="J5" s="44"/>
      <c r="K5" s="45"/>
    </row>
    <row r="6" spans="2:12" x14ac:dyDescent="0.2">
      <c r="B6" s="43"/>
      <c r="C6" s="44"/>
      <c r="D6" s="44"/>
      <c r="E6" s="44"/>
      <c r="F6" s="44"/>
      <c r="G6" s="44"/>
      <c r="H6" s="44"/>
      <c r="I6" s="44"/>
      <c r="J6" s="44"/>
      <c r="K6" s="45"/>
    </row>
    <row r="7" spans="2:12" ht="15" thickBot="1" x14ac:dyDescent="0.25">
      <c r="B7" s="46"/>
      <c r="C7" s="47"/>
      <c r="D7" s="47"/>
      <c r="E7" s="47"/>
      <c r="F7" s="47"/>
      <c r="G7" s="47"/>
      <c r="H7" s="47"/>
      <c r="I7" s="47"/>
      <c r="J7" s="47"/>
      <c r="K7" s="48"/>
    </row>
    <row r="8" spans="2:12" x14ac:dyDescent="0.2"/>
    <row r="9" spans="2:12" x14ac:dyDescent="0.2"/>
    <row r="10" spans="2:12" x14ac:dyDescent="0.2"/>
    <row r="11" spans="2:12" x14ac:dyDescent="0.2"/>
    <row r="12" spans="2:12" x14ac:dyDescent="0.2"/>
    <row r="13" spans="2:12" x14ac:dyDescent="0.2"/>
    <row r="14" spans="2:12" x14ac:dyDescent="0.2"/>
    <row r="15" spans="2:12" ht="15" x14ac:dyDescent="0.25">
      <c r="L15" s="5" t="s">
        <v>8</v>
      </c>
    </row>
    <row r="16" spans="2:12" ht="46.5" customHeight="1" x14ac:dyDescent="0.2"/>
  </sheetData>
  <mergeCells count="1">
    <mergeCell ref="B4:K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F60FC-3E46-4787-A36F-37AA04EAF6BD}">
  <sheetPr codeName="Hoja2"/>
  <dimension ref="A1:M8"/>
  <sheetViews>
    <sheetView showGridLines="0" zoomScale="85" zoomScaleNormal="85" workbookViewId="0"/>
  </sheetViews>
  <sheetFormatPr baseColWidth="10" defaultRowHeight="14.25" x14ac:dyDescent="0.2"/>
  <cols>
    <col min="1" max="1" width="15" style="2" customWidth="1"/>
    <col min="2" max="2" width="11" style="3"/>
    <col min="3" max="3" width="11" style="1"/>
    <col min="4" max="6" width="11" style="2"/>
    <col min="7" max="7" width="11" style="1"/>
  </cols>
  <sheetData>
    <row r="1" spans="1:13" x14ac:dyDescent="0.2">
      <c r="A1" s="28" t="s">
        <v>100</v>
      </c>
      <c r="B1" s="28" t="s">
        <v>101</v>
      </c>
      <c r="C1" s="28" t="s">
        <v>102</v>
      </c>
      <c r="D1" s="28" t="s">
        <v>103</v>
      </c>
      <c r="E1" s="28" t="s">
        <v>104</v>
      </c>
      <c r="F1" s="28" t="s">
        <v>105</v>
      </c>
      <c r="G1" s="28" t="s">
        <v>3</v>
      </c>
      <c r="H1" s="28" t="s">
        <v>106</v>
      </c>
      <c r="I1" s="28" t="s">
        <v>107</v>
      </c>
      <c r="J1" s="28" t="s">
        <v>108</v>
      </c>
      <c r="K1" s="28" t="s">
        <v>109</v>
      </c>
      <c r="L1" s="28" t="s">
        <v>110</v>
      </c>
      <c r="M1" s="28" t="s">
        <v>111</v>
      </c>
    </row>
    <row r="2" spans="1:13" x14ac:dyDescent="0.2">
      <c r="A2" s="29">
        <v>1178</v>
      </c>
      <c r="B2" s="29">
        <v>10</v>
      </c>
      <c r="C2" s="30">
        <v>50220000</v>
      </c>
      <c r="D2" s="31">
        <v>45884</v>
      </c>
      <c r="E2" s="31">
        <v>45884</v>
      </c>
      <c r="F2" s="29" t="s">
        <v>9</v>
      </c>
      <c r="G2" s="29" t="s">
        <v>112</v>
      </c>
      <c r="H2" s="29" t="s">
        <v>113</v>
      </c>
      <c r="I2" s="29"/>
      <c r="J2" s="29" t="s">
        <v>114</v>
      </c>
      <c r="K2" s="29" t="s">
        <v>115</v>
      </c>
      <c r="L2" s="29" t="s">
        <v>116</v>
      </c>
      <c r="M2" s="30">
        <v>375746097.62</v>
      </c>
    </row>
    <row r="3" spans="1:13" x14ac:dyDescent="0.2">
      <c r="A3" s="29">
        <v>1178</v>
      </c>
      <c r="B3" s="29">
        <v>11</v>
      </c>
      <c r="C3" s="30">
        <v>33218000</v>
      </c>
      <c r="D3" s="31">
        <v>45884</v>
      </c>
      <c r="E3" s="31">
        <v>45884</v>
      </c>
      <c r="F3" s="29" t="s">
        <v>10</v>
      </c>
      <c r="G3" s="29" t="s">
        <v>112</v>
      </c>
      <c r="H3" s="29" t="s">
        <v>113</v>
      </c>
      <c r="I3" s="29"/>
      <c r="J3" s="29" t="s">
        <v>114</v>
      </c>
      <c r="K3" s="29" t="s">
        <v>115</v>
      </c>
      <c r="L3" s="29" t="s">
        <v>116</v>
      </c>
      <c r="M3" s="30">
        <v>408964097.62</v>
      </c>
    </row>
    <row r="4" spans="1:13" x14ac:dyDescent="0.2">
      <c r="A4" s="29">
        <v>1178</v>
      </c>
      <c r="B4" s="29">
        <v>12</v>
      </c>
      <c r="C4" s="30">
        <v>17012800</v>
      </c>
      <c r="D4" s="31">
        <v>45884</v>
      </c>
      <c r="E4" s="31">
        <v>45884</v>
      </c>
      <c r="F4" s="29" t="s">
        <v>11</v>
      </c>
      <c r="G4" s="29" t="s">
        <v>112</v>
      </c>
      <c r="H4" s="29" t="s">
        <v>117</v>
      </c>
      <c r="I4" s="29"/>
      <c r="J4" s="29" t="s">
        <v>114</v>
      </c>
      <c r="K4" s="29" t="s">
        <v>115</v>
      </c>
      <c r="L4" s="29" t="s">
        <v>116</v>
      </c>
      <c r="M4" s="30">
        <v>425976897.62</v>
      </c>
    </row>
    <row r="5" spans="1:13" x14ac:dyDescent="0.2">
      <c r="A5" s="29">
        <v>1178</v>
      </c>
      <c r="B5" s="29">
        <v>13</v>
      </c>
      <c r="C5" s="30">
        <v>8646200</v>
      </c>
      <c r="D5" s="31">
        <v>45884</v>
      </c>
      <c r="E5" s="31">
        <v>45884</v>
      </c>
      <c r="F5" s="29" t="s">
        <v>12</v>
      </c>
      <c r="G5" s="29" t="s">
        <v>112</v>
      </c>
      <c r="H5" s="29" t="s">
        <v>117</v>
      </c>
      <c r="I5" s="29"/>
      <c r="J5" s="29" t="s">
        <v>114</v>
      </c>
      <c r="K5" s="29" t="s">
        <v>115</v>
      </c>
      <c r="L5" s="29" t="s">
        <v>116</v>
      </c>
      <c r="M5" s="30">
        <v>434623097.62</v>
      </c>
    </row>
    <row r="6" spans="1:13" x14ac:dyDescent="0.2">
      <c r="A6" s="29">
        <v>1178</v>
      </c>
      <c r="B6" s="29">
        <v>14</v>
      </c>
      <c r="C6" s="30">
        <v>8280000</v>
      </c>
      <c r="D6" s="31">
        <v>45884</v>
      </c>
      <c r="E6" s="31">
        <v>45884</v>
      </c>
      <c r="F6" s="29" t="s">
        <v>13</v>
      </c>
      <c r="G6" s="29" t="s">
        <v>112</v>
      </c>
      <c r="H6" s="29" t="s">
        <v>118</v>
      </c>
      <c r="I6" s="29"/>
      <c r="J6" s="29" t="s">
        <v>114</v>
      </c>
      <c r="K6" s="29" t="s">
        <v>115</v>
      </c>
      <c r="L6" s="29" t="s">
        <v>116</v>
      </c>
      <c r="M6" s="30">
        <v>442903097.62</v>
      </c>
    </row>
    <row r="7" spans="1:13" x14ac:dyDescent="0.2">
      <c r="A7" s="29">
        <v>1178</v>
      </c>
      <c r="B7" s="29">
        <v>12</v>
      </c>
      <c r="C7" s="30">
        <v>17012800</v>
      </c>
      <c r="D7" s="31">
        <v>45884</v>
      </c>
      <c r="E7" s="31">
        <v>45884</v>
      </c>
      <c r="F7" s="29" t="s">
        <v>11</v>
      </c>
      <c r="G7" s="29" t="s">
        <v>112</v>
      </c>
      <c r="H7" s="29" t="s">
        <v>117</v>
      </c>
      <c r="I7" s="29"/>
      <c r="J7" s="29" t="s">
        <v>114</v>
      </c>
      <c r="K7" s="29" t="s">
        <v>115</v>
      </c>
      <c r="L7" s="29" t="s">
        <v>116</v>
      </c>
      <c r="M7" s="30">
        <v>425976897.62</v>
      </c>
    </row>
    <row r="8" spans="1:13" x14ac:dyDescent="0.2">
      <c r="A8" s="29">
        <v>1178</v>
      </c>
      <c r="B8" s="29">
        <v>13</v>
      </c>
      <c r="C8" s="30">
        <v>8646200</v>
      </c>
      <c r="D8" s="31">
        <v>45884</v>
      </c>
      <c r="E8" s="31">
        <v>45884</v>
      </c>
      <c r="F8" s="29" t="s">
        <v>12</v>
      </c>
      <c r="G8" s="29" t="s">
        <v>112</v>
      </c>
      <c r="H8" s="29" t="s">
        <v>117</v>
      </c>
      <c r="I8" s="29"/>
      <c r="J8" s="29" t="s">
        <v>114</v>
      </c>
      <c r="K8" s="29" t="s">
        <v>115</v>
      </c>
      <c r="L8" s="29" t="s">
        <v>116</v>
      </c>
      <c r="M8" s="30">
        <v>434623097.62</v>
      </c>
    </row>
  </sheetData>
  <sortState xmlns:xlrd2="http://schemas.microsoft.com/office/spreadsheetml/2017/richdata2" ref="A2:J8">
    <sortCondition ref="A1"/>
  </sortState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A0FBC-8BF9-42C7-B74B-179660DCE015}">
  <sheetPr codeName="Hoja5"/>
  <dimension ref="A1:I10"/>
  <sheetViews>
    <sheetView showGridLines="0" zoomScale="85" zoomScaleNormal="85" workbookViewId="0"/>
  </sheetViews>
  <sheetFormatPr baseColWidth="10" defaultRowHeight="14.25" x14ac:dyDescent="0.2"/>
  <cols>
    <col min="1" max="1" width="38.125" style="2" customWidth="1"/>
    <col min="2" max="2" width="11" style="3"/>
    <col min="3" max="3" width="11" style="1"/>
    <col min="4" max="6" width="11" style="2"/>
    <col min="7" max="7" width="11" style="1"/>
    <col min="8" max="8" width="11" style="2"/>
  </cols>
  <sheetData>
    <row r="1" spans="1:9" ht="15" x14ac:dyDescent="0.25">
      <c r="A1" s="27" t="s">
        <v>77</v>
      </c>
      <c r="B1" s="26"/>
      <c r="C1" s="24"/>
      <c r="D1" s="23"/>
      <c r="E1" s="23"/>
      <c r="F1" s="23"/>
      <c r="G1" s="24"/>
      <c r="H1" s="23"/>
      <c r="I1" s="5"/>
    </row>
    <row r="2" spans="1:9" ht="15" x14ac:dyDescent="0.2">
      <c r="A2" s="27" t="s">
        <v>78</v>
      </c>
    </row>
    <row r="3" spans="1:9" ht="15" x14ac:dyDescent="0.2">
      <c r="A3" s="27" t="s">
        <v>79</v>
      </c>
    </row>
    <row r="4" spans="1:9" ht="15" x14ac:dyDescent="0.2">
      <c r="A4" s="27" t="s">
        <v>80</v>
      </c>
    </row>
    <row r="5" spans="1:9" ht="15" x14ac:dyDescent="0.2">
      <c r="A5" s="27" t="s">
        <v>81</v>
      </c>
    </row>
    <row r="6" spans="1:9" ht="15" x14ac:dyDescent="0.2">
      <c r="A6" s="27" t="s">
        <v>81</v>
      </c>
    </row>
    <row r="7" spans="1:9" ht="15" x14ac:dyDescent="0.2">
      <c r="A7" s="27" t="s">
        <v>82</v>
      </c>
    </row>
    <row r="8" spans="1:9" ht="15" x14ac:dyDescent="0.2">
      <c r="A8" s="27" t="s">
        <v>83</v>
      </c>
    </row>
    <row r="9" spans="1:9" ht="15" x14ac:dyDescent="0.2">
      <c r="A9" s="27" t="s">
        <v>84</v>
      </c>
    </row>
    <row r="10" spans="1:9" ht="15" x14ac:dyDescent="0.2">
      <c r="A10" s="27" t="s">
        <v>85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B4365-01B4-44B5-9193-9A67E6C8ED81}">
  <sheetPr codeName="Hoja3"/>
  <dimension ref="A1:T14"/>
  <sheetViews>
    <sheetView showGridLines="0" showRowColHeaders="0" zoomScale="85" zoomScaleNormal="85" workbookViewId="0"/>
  </sheetViews>
  <sheetFormatPr baseColWidth="10" defaultRowHeight="14.25" x14ac:dyDescent="0.2"/>
  <cols>
    <col min="1" max="1" width="32.5" style="2" customWidth="1"/>
    <col min="2" max="2" width="11" style="1"/>
    <col min="3" max="3" width="11" style="2"/>
    <col min="4" max="4" width="11" style="3"/>
    <col min="5" max="20" width="11" style="2"/>
  </cols>
  <sheetData>
    <row r="1" spans="1:5" ht="15" x14ac:dyDescent="0.25">
      <c r="A1" s="23" t="s">
        <v>57</v>
      </c>
      <c r="B1" s="24" t="s">
        <v>58</v>
      </c>
      <c r="C1" s="25" t="s">
        <v>59</v>
      </c>
      <c r="D1" s="26" t="s">
        <v>60</v>
      </c>
      <c r="E1" s="23" t="s">
        <v>61</v>
      </c>
    </row>
    <row r="2" spans="1:5" x14ac:dyDescent="0.2">
      <c r="A2" s="2" t="s">
        <v>62</v>
      </c>
      <c r="B2" s="1">
        <v>45873</v>
      </c>
      <c r="C2" s="2">
        <v>1104422369</v>
      </c>
      <c r="D2" s="22">
        <v>8000000</v>
      </c>
      <c r="E2" s="2">
        <v>1303</v>
      </c>
    </row>
    <row r="3" spans="1:5" x14ac:dyDescent="0.2">
      <c r="A3" s="2" t="s">
        <v>63</v>
      </c>
      <c r="B3" s="1">
        <v>45873</v>
      </c>
      <c r="C3" s="2">
        <v>40778055</v>
      </c>
      <c r="D3" s="22">
        <v>3000000</v>
      </c>
      <c r="E3" s="2">
        <v>913</v>
      </c>
    </row>
    <row r="4" spans="1:5" x14ac:dyDescent="0.2">
      <c r="A4" s="2" t="s">
        <v>64</v>
      </c>
      <c r="B4" s="1">
        <v>45873</v>
      </c>
      <c r="C4" s="2">
        <v>37513359</v>
      </c>
      <c r="D4" s="22">
        <v>1360800</v>
      </c>
      <c r="E4" s="2">
        <v>685</v>
      </c>
    </row>
    <row r="5" spans="1:5" x14ac:dyDescent="0.2">
      <c r="A5" s="2" t="s">
        <v>65</v>
      </c>
      <c r="B5" s="1">
        <v>45873</v>
      </c>
      <c r="C5" s="2">
        <v>40778055</v>
      </c>
      <c r="D5" s="22">
        <v>2180100</v>
      </c>
      <c r="E5" s="2">
        <v>913</v>
      </c>
    </row>
    <row r="6" spans="1:5" x14ac:dyDescent="0.2">
      <c r="A6" s="2" t="s">
        <v>66</v>
      </c>
      <c r="B6" s="1">
        <v>45873</v>
      </c>
      <c r="C6" s="2">
        <v>9022406</v>
      </c>
      <c r="D6" s="22">
        <v>1959000</v>
      </c>
      <c r="E6" s="2">
        <v>1252</v>
      </c>
    </row>
    <row r="7" spans="1:5" x14ac:dyDescent="0.2">
      <c r="A7" s="2" t="s">
        <v>67</v>
      </c>
      <c r="B7" s="1">
        <v>45873</v>
      </c>
      <c r="C7" s="2">
        <v>901388613</v>
      </c>
      <c r="D7" s="22">
        <v>2289840</v>
      </c>
      <c r="E7" s="2">
        <v>818</v>
      </c>
    </row>
    <row r="8" spans="1:5" x14ac:dyDescent="0.2">
      <c r="A8" s="2" t="s">
        <v>68</v>
      </c>
      <c r="B8" s="1">
        <v>45873</v>
      </c>
      <c r="C8" s="2">
        <v>14950957</v>
      </c>
      <c r="D8" s="22">
        <v>2900000</v>
      </c>
      <c r="E8" s="2">
        <v>854</v>
      </c>
    </row>
    <row r="9" spans="1:5" x14ac:dyDescent="0.2">
      <c r="A9" s="2" t="s">
        <v>69</v>
      </c>
      <c r="B9" s="1">
        <v>45873</v>
      </c>
      <c r="C9" s="2">
        <v>14950957</v>
      </c>
      <c r="D9" s="22">
        <v>776000</v>
      </c>
      <c r="E9" s="2">
        <v>854</v>
      </c>
    </row>
    <row r="10" spans="1:5" x14ac:dyDescent="0.2">
      <c r="A10" s="2" t="s">
        <v>70</v>
      </c>
      <c r="B10" s="1">
        <v>45873</v>
      </c>
      <c r="C10" s="2">
        <v>1126454330</v>
      </c>
      <c r="D10" s="22">
        <v>1020000</v>
      </c>
      <c r="E10" s="2">
        <v>1145</v>
      </c>
    </row>
    <row r="11" spans="1:5" x14ac:dyDescent="0.2">
      <c r="A11" s="2" t="s">
        <v>71</v>
      </c>
      <c r="B11" s="1">
        <v>45873</v>
      </c>
      <c r="C11" s="2">
        <v>25271089</v>
      </c>
      <c r="D11" s="22">
        <v>2580000</v>
      </c>
      <c r="E11" s="2">
        <v>966</v>
      </c>
    </row>
    <row r="12" spans="1:5" x14ac:dyDescent="0.2">
      <c r="A12" s="2" t="s">
        <v>72</v>
      </c>
      <c r="B12" s="1">
        <v>45873</v>
      </c>
      <c r="C12" s="2">
        <v>1129571413</v>
      </c>
      <c r="D12" s="22">
        <v>400000</v>
      </c>
      <c r="E12" s="2">
        <v>1303</v>
      </c>
    </row>
    <row r="13" spans="1:5" x14ac:dyDescent="0.2">
      <c r="A13" s="2" t="s">
        <v>73</v>
      </c>
      <c r="B13" s="1">
        <v>45873</v>
      </c>
      <c r="C13" s="2">
        <v>25271089</v>
      </c>
      <c r="D13" s="22">
        <v>9500000</v>
      </c>
      <c r="E13" s="2">
        <v>966</v>
      </c>
    </row>
    <row r="14" spans="1:5" x14ac:dyDescent="0.2">
      <c r="A14" s="2" t="s">
        <v>74</v>
      </c>
      <c r="B14" s="1">
        <v>45873</v>
      </c>
      <c r="C14" s="2">
        <v>40778055</v>
      </c>
      <c r="D14" s="22">
        <v>2122000</v>
      </c>
      <c r="E14" s="2">
        <v>913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13630-86E3-49AD-BEFF-BDE854A43ED8}">
  <sheetPr codeName="Hoja4"/>
  <dimension ref="A1:E9"/>
  <sheetViews>
    <sheetView showGridLines="0" showRowColHeaders="0" zoomScale="85" zoomScaleNormal="85" workbookViewId="0"/>
  </sheetViews>
  <sheetFormatPr baseColWidth="10" defaultRowHeight="14.25" x14ac:dyDescent="0.2"/>
  <cols>
    <col min="1" max="1" width="4.375" customWidth="1"/>
    <col min="4" max="4" width="23.25" customWidth="1"/>
  </cols>
  <sheetData>
    <row r="1" spans="1:5" ht="15" x14ac:dyDescent="0.25">
      <c r="A1" s="5" t="s">
        <v>1</v>
      </c>
      <c r="B1" s="5" t="s">
        <v>2</v>
      </c>
      <c r="C1" s="5" t="s">
        <v>3</v>
      </c>
      <c r="D1" s="5" t="s">
        <v>4</v>
      </c>
      <c r="E1" s="5" t="s">
        <v>5</v>
      </c>
    </row>
    <row r="2" spans="1:5" x14ac:dyDescent="0.2">
      <c r="A2">
        <v>1</v>
      </c>
      <c r="B2" s="4">
        <v>685</v>
      </c>
      <c r="C2" t="str">
        <f t="shared" ref="C2:C9" si="0">+"Tienda_"&amp;B2</f>
        <v>Tienda_685</v>
      </c>
      <c r="D2" s="6" t="s">
        <v>56</v>
      </c>
      <c r="E2" t="s">
        <v>6</v>
      </c>
    </row>
    <row r="3" spans="1:5" x14ac:dyDescent="0.2">
      <c r="A3">
        <f>+A2+1</f>
        <v>2</v>
      </c>
      <c r="B3" s="4">
        <v>818</v>
      </c>
      <c r="C3" t="str">
        <f t="shared" si="0"/>
        <v>Tienda_818</v>
      </c>
      <c r="D3" s="6" t="s">
        <v>56</v>
      </c>
      <c r="E3" t="s">
        <v>6</v>
      </c>
    </row>
    <row r="4" spans="1:5" x14ac:dyDescent="0.2">
      <c r="A4">
        <f>+A3+1</f>
        <v>3</v>
      </c>
      <c r="B4" s="4">
        <v>854</v>
      </c>
      <c r="C4" t="str">
        <f t="shared" si="0"/>
        <v>Tienda_854</v>
      </c>
      <c r="D4" s="6" t="s">
        <v>56</v>
      </c>
      <c r="E4" t="s">
        <v>6</v>
      </c>
    </row>
    <row r="5" spans="1:5" x14ac:dyDescent="0.2">
      <c r="A5">
        <f t="shared" ref="A5:A9" si="1">+A4+1</f>
        <v>4</v>
      </c>
      <c r="B5" s="4">
        <v>913</v>
      </c>
      <c r="C5" t="str">
        <f t="shared" si="0"/>
        <v>Tienda_913</v>
      </c>
      <c r="D5" s="6" t="s">
        <v>56</v>
      </c>
      <c r="E5" t="s">
        <v>6</v>
      </c>
    </row>
    <row r="6" spans="1:5" x14ac:dyDescent="0.2">
      <c r="A6">
        <f t="shared" si="1"/>
        <v>5</v>
      </c>
      <c r="B6" s="4">
        <v>966</v>
      </c>
      <c r="C6" t="str">
        <f t="shared" si="0"/>
        <v>Tienda_966</v>
      </c>
      <c r="D6" s="6" t="s">
        <v>56</v>
      </c>
      <c r="E6" t="s">
        <v>6</v>
      </c>
    </row>
    <row r="7" spans="1:5" x14ac:dyDescent="0.2">
      <c r="A7">
        <f t="shared" si="1"/>
        <v>6</v>
      </c>
      <c r="B7" s="4">
        <v>1145</v>
      </c>
      <c r="C7" t="str">
        <f t="shared" si="0"/>
        <v>Tienda_1145</v>
      </c>
      <c r="D7" s="6" t="s">
        <v>56</v>
      </c>
      <c r="E7" t="s">
        <v>6</v>
      </c>
    </row>
    <row r="8" spans="1:5" x14ac:dyDescent="0.2">
      <c r="A8">
        <f t="shared" si="1"/>
        <v>7</v>
      </c>
      <c r="B8" s="4">
        <v>1252</v>
      </c>
      <c r="C8" t="str">
        <f t="shared" si="0"/>
        <v>Tienda_1252</v>
      </c>
      <c r="D8" s="6" t="s">
        <v>56</v>
      </c>
      <c r="E8" t="s">
        <v>6</v>
      </c>
    </row>
    <row r="9" spans="1:5" x14ac:dyDescent="0.2">
      <c r="A9">
        <f t="shared" si="1"/>
        <v>8</v>
      </c>
      <c r="B9" s="4">
        <v>1303</v>
      </c>
      <c r="C9" t="str">
        <f t="shared" si="0"/>
        <v>Tienda_1303</v>
      </c>
      <c r="D9" s="6" t="s">
        <v>56</v>
      </c>
      <c r="E9" t="s">
        <v>6</v>
      </c>
    </row>
  </sheetData>
  <sortState xmlns:xlrd2="http://schemas.microsoft.com/office/spreadsheetml/2017/richdata2" ref="A2:E9">
    <sortCondition ref="B2:B9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BD1E9-28AB-4789-B105-EA98E1CA9930}">
  <sheetPr codeName="Hoja7"/>
  <dimension ref="A1:J30"/>
  <sheetViews>
    <sheetView showGridLines="0" tabSelected="1" zoomScale="85" zoomScaleNormal="85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RowHeight="12.75" x14ac:dyDescent="0.2"/>
  <cols>
    <col min="1" max="1" width="26" style="7" bestFit="1" customWidth="1"/>
    <col min="2" max="2" width="12.125" style="7" bestFit="1" customWidth="1"/>
    <col min="3" max="3" width="20.25" style="15" customWidth="1"/>
    <col min="4" max="4" width="23.375" style="7" customWidth="1"/>
    <col min="5" max="5" width="23.5" style="7" customWidth="1"/>
    <col min="6" max="6" width="14.75" style="7" customWidth="1"/>
    <col min="7" max="7" width="19" style="7" customWidth="1"/>
    <col min="8" max="8" width="20.25" style="7" customWidth="1"/>
    <col min="9" max="9" width="20.5" style="7" customWidth="1"/>
    <col min="10" max="10" width="20" style="7" customWidth="1"/>
    <col min="11" max="16384" width="11" style="7"/>
  </cols>
  <sheetData>
    <row r="1" spans="1:10" x14ac:dyDescent="0.2">
      <c r="A1" s="16" t="s">
        <v>18</v>
      </c>
      <c r="B1" s="17" t="s">
        <v>19</v>
      </c>
      <c r="C1" s="18" t="s">
        <v>20</v>
      </c>
      <c r="D1" s="19" t="s">
        <v>21</v>
      </c>
      <c r="E1" s="16" t="s">
        <v>22</v>
      </c>
      <c r="F1" s="20" t="s">
        <v>23</v>
      </c>
      <c r="G1" s="21" t="s">
        <v>24</v>
      </c>
      <c r="H1" s="20" t="s">
        <v>25</v>
      </c>
      <c r="I1" s="20" t="s">
        <v>26</v>
      </c>
      <c r="J1" s="20" t="s">
        <v>27</v>
      </c>
    </row>
    <row r="2" spans="1:10" x14ac:dyDescent="0.2">
      <c r="A2" s="8" t="s">
        <v>37</v>
      </c>
      <c r="B2" s="9">
        <v>8280000</v>
      </c>
      <c r="C2" s="10">
        <v>45884</v>
      </c>
      <c r="D2" s="11" t="s">
        <v>13</v>
      </c>
      <c r="E2" s="8" t="s">
        <v>16</v>
      </c>
      <c r="F2" s="8" t="s">
        <v>53</v>
      </c>
      <c r="G2" s="12">
        <v>45918.882569444446</v>
      </c>
      <c r="H2" s="7" t="s">
        <v>55</v>
      </c>
      <c r="I2" s="7" t="s">
        <v>38</v>
      </c>
      <c r="J2" s="7" t="s">
        <v>17</v>
      </c>
    </row>
    <row r="3" spans="1:10" x14ac:dyDescent="0.2">
      <c r="A3" s="8" t="s">
        <v>33</v>
      </c>
      <c r="B3" s="9">
        <v>50220000</v>
      </c>
      <c r="C3" s="10">
        <v>45884</v>
      </c>
      <c r="D3" s="11" t="s">
        <v>9</v>
      </c>
      <c r="E3" s="8" t="s">
        <v>16</v>
      </c>
      <c r="F3" s="8" t="s">
        <v>53</v>
      </c>
      <c r="G3" s="12">
        <v>45918.882569444446</v>
      </c>
      <c r="H3" s="7" t="s">
        <v>55</v>
      </c>
      <c r="I3" s="7" t="s">
        <v>38</v>
      </c>
      <c r="J3" s="7" t="s">
        <v>17</v>
      </c>
    </row>
    <row r="4" spans="1:10" x14ac:dyDescent="0.2">
      <c r="A4" s="8" t="s">
        <v>36</v>
      </c>
      <c r="B4" s="9">
        <v>8646200</v>
      </c>
      <c r="C4" s="10">
        <v>45884</v>
      </c>
      <c r="D4" s="11" t="s">
        <v>12</v>
      </c>
      <c r="E4" s="8" t="s">
        <v>15</v>
      </c>
      <c r="F4" s="8" t="s">
        <v>52</v>
      </c>
      <c r="G4" s="12">
        <v>45918.882569444446</v>
      </c>
      <c r="H4" s="7" t="s">
        <v>55</v>
      </c>
      <c r="I4" s="7" t="s">
        <v>38</v>
      </c>
      <c r="J4" s="7" t="s">
        <v>17</v>
      </c>
    </row>
    <row r="5" spans="1:10" x14ac:dyDescent="0.2">
      <c r="A5" s="8" t="s">
        <v>35</v>
      </c>
      <c r="B5" s="9">
        <v>17012800</v>
      </c>
      <c r="C5" s="10">
        <v>45884</v>
      </c>
      <c r="D5" s="11" t="s">
        <v>11</v>
      </c>
      <c r="E5" s="8" t="s">
        <v>15</v>
      </c>
      <c r="F5" s="8" t="s">
        <v>52</v>
      </c>
      <c r="G5" s="12">
        <v>45918.882569444446</v>
      </c>
      <c r="H5" s="7" t="s">
        <v>55</v>
      </c>
      <c r="I5" s="7" t="s">
        <v>38</v>
      </c>
      <c r="J5" s="7" t="s">
        <v>17</v>
      </c>
    </row>
    <row r="6" spans="1:10" x14ac:dyDescent="0.2">
      <c r="A6" s="8" t="s">
        <v>34</v>
      </c>
      <c r="B6" s="9">
        <v>33218000</v>
      </c>
      <c r="C6" s="10">
        <v>45884</v>
      </c>
      <c r="D6" s="11" t="s">
        <v>10</v>
      </c>
      <c r="E6" s="8" t="s">
        <v>14</v>
      </c>
      <c r="F6" s="8" t="s">
        <v>54</v>
      </c>
      <c r="G6" s="12">
        <v>45918.882569444446</v>
      </c>
      <c r="H6" s="7" t="s">
        <v>55</v>
      </c>
      <c r="I6" s="7" t="s">
        <v>38</v>
      </c>
      <c r="J6" s="7" t="s">
        <v>17</v>
      </c>
    </row>
    <row r="7" spans="1:10" x14ac:dyDescent="0.2">
      <c r="A7" s="8" t="s">
        <v>46</v>
      </c>
      <c r="B7" s="13">
        <v>1428000</v>
      </c>
      <c r="C7" s="14" t="s">
        <v>45</v>
      </c>
      <c r="D7" s="8" t="s">
        <v>0</v>
      </c>
      <c r="E7" s="8" t="s">
        <v>0</v>
      </c>
      <c r="F7" s="8" t="s">
        <v>40</v>
      </c>
      <c r="G7" s="12">
        <v>45918.882569444446</v>
      </c>
      <c r="H7" s="8" t="s">
        <v>55</v>
      </c>
      <c r="I7" s="7" t="s">
        <v>38</v>
      </c>
      <c r="J7" s="7" t="s">
        <v>39</v>
      </c>
    </row>
    <row r="8" spans="1:10" x14ac:dyDescent="0.2">
      <c r="A8" s="8" t="s">
        <v>47</v>
      </c>
      <c r="B8" s="13">
        <v>80000</v>
      </c>
      <c r="C8" s="14" t="s">
        <v>45</v>
      </c>
      <c r="D8" s="8" t="s">
        <v>28</v>
      </c>
      <c r="E8" s="8" t="s">
        <v>28</v>
      </c>
      <c r="F8" s="8" t="s">
        <v>41</v>
      </c>
      <c r="G8" s="12">
        <v>45918.882569444446</v>
      </c>
      <c r="H8" s="8" t="s">
        <v>55</v>
      </c>
      <c r="I8" s="7" t="s">
        <v>38</v>
      </c>
      <c r="J8" s="7" t="s">
        <v>39</v>
      </c>
    </row>
    <row r="9" spans="1:10" x14ac:dyDescent="0.2">
      <c r="A9" s="8" t="s">
        <v>48</v>
      </c>
      <c r="B9" s="13">
        <v>6893600</v>
      </c>
      <c r="C9" s="14" t="s">
        <v>45</v>
      </c>
      <c r="D9" s="8" t="s">
        <v>29</v>
      </c>
      <c r="E9" s="8" t="s">
        <v>29</v>
      </c>
      <c r="F9" s="8" t="s">
        <v>41</v>
      </c>
      <c r="G9" s="12">
        <v>45918.882569444446</v>
      </c>
      <c r="H9" s="8" t="s">
        <v>55</v>
      </c>
      <c r="I9" s="7" t="s">
        <v>38</v>
      </c>
      <c r="J9" s="7" t="s">
        <v>39</v>
      </c>
    </row>
    <row r="10" spans="1:10" x14ac:dyDescent="0.2">
      <c r="A10" s="8" t="s">
        <v>49</v>
      </c>
      <c r="B10" s="13">
        <v>2304000</v>
      </c>
      <c r="C10" s="14" t="s">
        <v>45</v>
      </c>
      <c r="D10" s="8" t="s">
        <v>30</v>
      </c>
      <c r="E10" s="8" t="s">
        <v>30</v>
      </c>
      <c r="F10" s="8" t="s">
        <v>42</v>
      </c>
      <c r="G10" s="12">
        <v>45918.882569444446</v>
      </c>
      <c r="H10" s="8" t="s">
        <v>55</v>
      </c>
      <c r="I10" s="7" t="s">
        <v>38</v>
      </c>
      <c r="J10" s="7" t="s">
        <v>39</v>
      </c>
    </row>
    <row r="11" spans="1:10" x14ac:dyDescent="0.2">
      <c r="A11" s="8" t="s">
        <v>50</v>
      </c>
      <c r="B11" s="13">
        <v>2160000</v>
      </c>
      <c r="C11" s="14" t="s">
        <v>45</v>
      </c>
      <c r="D11" s="8" t="s">
        <v>31</v>
      </c>
      <c r="E11" s="8" t="s">
        <v>31</v>
      </c>
      <c r="F11" s="8" t="s">
        <v>43</v>
      </c>
      <c r="G11" s="12">
        <v>45918.882569444446</v>
      </c>
      <c r="H11" s="8" t="s">
        <v>55</v>
      </c>
      <c r="I11" s="7" t="s">
        <v>38</v>
      </c>
      <c r="J11" s="7" t="s">
        <v>39</v>
      </c>
    </row>
    <row r="12" spans="1:10" x14ac:dyDescent="0.2">
      <c r="A12" s="8" t="s">
        <v>51</v>
      </c>
      <c r="B12" s="13">
        <v>19224400</v>
      </c>
      <c r="C12" s="14" t="s">
        <v>45</v>
      </c>
      <c r="D12" s="8" t="s">
        <v>32</v>
      </c>
      <c r="E12" s="8" t="s">
        <v>32</v>
      </c>
      <c r="F12" s="8" t="s">
        <v>44</v>
      </c>
      <c r="G12" s="12">
        <v>45918.882569444446</v>
      </c>
      <c r="H12" s="8" t="s">
        <v>55</v>
      </c>
      <c r="I12" s="7" t="s">
        <v>38</v>
      </c>
      <c r="J12" s="7" t="s">
        <v>39</v>
      </c>
    </row>
    <row r="13" spans="1:10" s="36" customFormat="1" x14ac:dyDescent="0.2">
      <c r="A13" s="32" t="s">
        <v>92</v>
      </c>
      <c r="B13" s="33">
        <v>2000000</v>
      </c>
      <c r="C13" s="34" t="s">
        <v>87</v>
      </c>
      <c r="D13" s="32" t="s">
        <v>86</v>
      </c>
      <c r="E13" s="32" t="s">
        <v>86</v>
      </c>
      <c r="F13" s="32"/>
      <c r="G13" s="35"/>
      <c r="H13" s="32"/>
      <c r="I13" s="36" t="s">
        <v>75</v>
      </c>
      <c r="J13" s="36" t="s">
        <v>39</v>
      </c>
    </row>
    <row r="14" spans="1:10" s="36" customFormat="1" x14ac:dyDescent="0.2">
      <c r="A14" s="32" t="s">
        <v>93</v>
      </c>
      <c r="B14" s="33">
        <v>3000000</v>
      </c>
      <c r="C14" s="34" t="s">
        <v>87</v>
      </c>
      <c r="D14" s="32" t="s">
        <v>86</v>
      </c>
      <c r="E14" s="32" t="s">
        <v>86</v>
      </c>
      <c r="F14" s="32"/>
      <c r="G14" s="35"/>
      <c r="H14" s="32"/>
      <c r="I14" s="36" t="s">
        <v>38</v>
      </c>
      <c r="J14" s="36" t="s">
        <v>39</v>
      </c>
    </row>
    <row r="15" spans="1:10" s="36" customFormat="1" x14ac:dyDescent="0.2">
      <c r="A15" s="32" t="s">
        <v>94</v>
      </c>
      <c r="B15" s="33">
        <v>2153200</v>
      </c>
      <c r="C15" s="34" t="s">
        <v>87</v>
      </c>
      <c r="D15" s="32" t="s">
        <v>88</v>
      </c>
      <c r="E15" s="32" t="s">
        <v>88</v>
      </c>
      <c r="F15" s="32"/>
      <c r="G15" s="35"/>
      <c r="H15" s="32"/>
      <c r="I15" s="36" t="s">
        <v>38</v>
      </c>
      <c r="J15" s="36" t="s">
        <v>39</v>
      </c>
    </row>
    <row r="16" spans="1:10" s="36" customFormat="1" x14ac:dyDescent="0.2">
      <c r="A16" s="32" t="s">
        <v>95</v>
      </c>
      <c r="B16" s="33">
        <v>2000000</v>
      </c>
      <c r="C16" s="34" t="s">
        <v>87</v>
      </c>
      <c r="D16" s="32" t="s">
        <v>89</v>
      </c>
      <c r="E16" s="32" t="s">
        <v>89</v>
      </c>
      <c r="F16" s="32"/>
      <c r="G16" s="35"/>
      <c r="H16" s="32"/>
      <c r="I16" s="36" t="s">
        <v>75</v>
      </c>
      <c r="J16" s="36" t="s">
        <v>39</v>
      </c>
    </row>
    <row r="17" spans="1:10" s="36" customFormat="1" x14ac:dyDescent="0.2">
      <c r="A17" s="32" t="s">
        <v>95</v>
      </c>
      <c r="B17" s="33">
        <v>2000000</v>
      </c>
      <c r="C17" s="34" t="s">
        <v>87</v>
      </c>
      <c r="D17" s="32" t="s">
        <v>89</v>
      </c>
      <c r="E17" s="32" t="s">
        <v>89</v>
      </c>
      <c r="F17" s="32"/>
      <c r="G17" s="35"/>
      <c r="H17" s="32"/>
      <c r="I17" s="36" t="s">
        <v>75</v>
      </c>
      <c r="J17" s="36" t="s">
        <v>39</v>
      </c>
    </row>
    <row r="18" spans="1:10" s="36" customFormat="1" x14ac:dyDescent="0.2">
      <c r="A18" s="32" t="s">
        <v>96</v>
      </c>
      <c r="B18" s="33">
        <v>1778000</v>
      </c>
      <c r="C18" s="34" t="s">
        <v>87</v>
      </c>
      <c r="D18" s="32" t="s">
        <v>89</v>
      </c>
      <c r="E18" s="32" t="s">
        <v>89</v>
      </c>
      <c r="F18" s="32"/>
      <c r="G18" s="35"/>
      <c r="H18" s="32"/>
      <c r="I18" s="36" t="s">
        <v>38</v>
      </c>
      <c r="J18" s="36" t="s">
        <v>39</v>
      </c>
    </row>
    <row r="19" spans="1:10" s="36" customFormat="1" x14ac:dyDescent="0.2">
      <c r="A19" s="32" t="s">
        <v>97</v>
      </c>
      <c r="B19" s="33">
        <v>2808000</v>
      </c>
      <c r="C19" s="34" t="s">
        <v>87</v>
      </c>
      <c r="D19" s="32" t="s">
        <v>90</v>
      </c>
      <c r="E19" s="32" t="s">
        <v>90</v>
      </c>
      <c r="F19" s="32"/>
      <c r="G19" s="35"/>
      <c r="H19" s="32"/>
      <c r="I19" s="36" t="s">
        <v>38</v>
      </c>
      <c r="J19" s="36" t="s">
        <v>39</v>
      </c>
    </row>
    <row r="20" spans="1:10" s="36" customFormat="1" x14ac:dyDescent="0.2">
      <c r="A20" s="32" t="s">
        <v>98</v>
      </c>
      <c r="B20" s="33">
        <v>2808000</v>
      </c>
      <c r="C20" s="34" t="s">
        <v>87</v>
      </c>
      <c r="D20" s="32" t="s">
        <v>76</v>
      </c>
      <c r="E20" s="32" t="s">
        <v>76</v>
      </c>
      <c r="F20" s="32"/>
      <c r="G20" s="35"/>
      <c r="H20" s="32"/>
      <c r="I20" s="36" t="s">
        <v>38</v>
      </c>
      <c r="J20" s="36" t="s">
        <v>39</v>
      </c>
    </row>
    <row r="21" spans="1:10" s="36" customFormat="1" x14ac:dyDescent="0.2">
      <c r="A21" s="32" t="s">
        <v>99</v>
      </c>
      <c r="B21" s="33">
        <v>1173900</v>
      </c>
      <c r="C21" s="34" t="s">
        <v>87</v>
      </c>
      <c r="D21" s="32" t="s">
        <v>91</v>
      </c>
      <c r="E21" s="32" t="s">
        <v>91</v>
      </c>
      <c r="F21" s="32"/>
      <c r="G21" s="35"/>
      <c r="H21" s="32"/>
      <c r="I21" s="36" t="s">
        <v>38</v>
      </c>
      <c r="J21" s="36" t="s">
        <v>39</v>
      </c>
    </row>
    <row r="22" spans="1:10" s="36" customFormat="1" x14ac:dyDescent="0.2">
      <c r="A22" s="32" t="s">
        <v>95</v>
      </c>
      <c r="B22" s="33">
        <v>2000000</v>
      </c>
      <c r="C22" s="34" t="s">
        <v>87</v>
      </c>
      <c r="D22" s="32" t="s">
        <v>89</v>
      </c>
      <c r="E22" s="32" t="s">
        <v>89</v>
      </c>
      <c r="F22" s="32"/>
      <c r="G22" s="35"/>
      <c r="H22" s="32"/>
      <c r="I22" s="36" t="s">
        <v>75</v>
      </c>
      <c r="J22" s="36" t="s">
        <v>39</v>
      </c>
    </row>
    <row r="23" spans="1:10" s="36" customFormat="1" x14ac:dyDescent="0.2">
      <c r="A23" s="32" t="s">
        <v>92</v>
      </c>
      <c r="B23" s="33">
        <v>2000000</v>
      </c>
      <c r="C23" s="34" t="s">
        <v>87</v>
      </c>
      <c r="D23" s="32" t="s">
        <v>86</v>
      </c>
      <c r="E23" s="32" t="s">
        <v>86</v>
      </c>
      <c r="F23" s="32"/>
      <c r="G23" s="35"/>
      <c r="H23" s="32"/>
      <c r="I23" s="36" t="s">
        <v>75</v>
      </c>
      <c r="J23" s="36" t="s">
        <v>39</v>
      </c>
    </row>
    <row r="24" spans="1:10" s="36" customFormat="1" x14ac:dyDescent="0.2">
      <c r="A24" s="32" t="s">
        <v>37</v>
      </c>
      <c r="B24" s="37">
        <v>8280000</v>
      </c>
      <c r="C24" s="38">
        <v>45884</v>
      </c>
      <c r="D24" s="39" t="s">
        <v>13</v>
      </c>
      <c r="E24" s="32" t="s">
        <v>16</v>
      </c>
      <c r="G24" s="35"/>
      <c r="I24" s="36" t="s">
        <v>38</v>
      </c>
      <c r="J24" s="36" t="s">
        <v>17</v>
      </c>
    </row>
    <row r="25" spans="1:10" s="36" customFormat="1" x14ac:dyDescent="0.2">
      <c r="A25" s="32" t="s">
        <v>33</v>
      </c>
      <c r="B25" s="37">
        <v>50220000</v>
      </c>
      <c r="C25" s="38">
        <v>45884</v>
      </c>
      <c r="D25" s="39" t="s">
        <v>9</v>
      </c>
      <c r="E25" s="32" t="s">
        <v>119</v>
      </c>
      <c r="G25" s="35"/>
      <c r="I25" s="36" t="s">
        <v>75</v>
      </c>
      <c r="J25" s="36" t="s">
        <v>17</v>
      </c>
    </row>
    <row r="26" spans="1:10" s="36" customFormat="1" x14ac:dyDescent="0.2">
      <c r="A26" s="32" t="s">
        <v>33</v>
      </c>
      <c r="B26" s="37">
        <v>50220000</v>
      </c>
      <c r="C26" s="38">
        <v>45884</v>
      </c>
      <c r="D26" s="39" t="s">
        <v>9</v>
      </c>
      <c r="E26" s="32" t="s">
        <v>119</v>
      </c>
      <c r="G26" s="35"/>
      <c r="I26" s="36" t="s">
        <v>75</v>
      </c>
      <c r="J26" s="36" t="s">
        <v>17</v>
      </c>
    </row>
    <row r="27" spans="1:10" s="36" customFormat="1" x14ac:dyDescent="0.2">
      <c r="A27" s="32" t="s">
        <v>36</v>
      </c>
      <c r="B27" s="37">
        <v>8646200</v>
      </c>
      <c r="C27" s="38">
        <v>45884</v>
      </c>
      <c r="D27" s="39" t="s">
        <v>12</v>
      </c>
      <c r="E27" s="32" t="s">
        <v>15</v>
      </c>
      <c r="G27" s="35"/>
      <c r="I27" s="36" t="s">
        <v>75</v>
      </c>
      <c r="J27" s="36" t="s">
        <v>17</v>
      </c>
    </row>
    <row r="28" spans="1:10" s="36" customFormat="1" x14ac:dyDescent="0.2">
      <c r="A28" s="32" t="s">
        <v>36</v>
      </c>
      <c r="B28" s="37">
        <v>8646200</v>
      </c>
      <c r="C28" s="38">
        <v>45884</v>
      </c>
      <c r="D28" s="39" t="s">
        <v>12</v>
      </c>
      <c r="E28" s="32" t="s">
        <v>15</v>
      </c>
      <c r="G28" s="35"/>
      <c r="I28" s="36" t="s">
        <v>75</v>
      </c>
      <c r="J28" s="36" t="s">
        <v>17</v>
      </c>
    </row>
    <row r="29" spans="1:10" s="36" customFormat="1" x14ac:dyDescent="0.2">
      <c r="A29" s="32" t="s">
        <v>35</v>
      </c>
      <c r="B29" s="37">
        <v>17012800</v>
      </c>
      <c r="C29" s="38">
        <v>45884</v>
      </c>
      <c r="D29" s="39" t="s">
        <v>11</v>
      </c>
      <c r="E29" s="32" t="s">
        <v>120</v>
      </c>
      <c r="G29" s="35"/>
      <c r="I29" s="36" t="s">
        <v>38</v>
      </c>
      <c r="J29" s="36" t="s">
        <v>17</v>
      </c>
    </row>
    <row r="30" spans="1:10" s="36" customFormat="1" x14ac:dyDescent="0.2">
      <c r="A30" s="32" t="s">
        <v>34</v>
      </c>
      <c r="B30" s="37">
        <v>33218000</v>
      </c>
      <c r="C30" s="38">
        <v>45884</v>
      </c>
      <c r="D30" s="39" t="s">
        <v>10</v>
      </c>
      <c r="E30" s="32" t="s">
        <v>14</v>
      </c>
      <c r="G30" s="35"/>
      <c r="I30" s="36" t="s">
        <v>38</v>
      </c>
      <c r="J30" s="36" t="s">
        <v>17</v>
      </c>
    </row>
  </sheetData>
  <dataConsolidate/>
  <pageMargins left="0.7" right="0.7" top="0.75" bottom="0.75" header="0.3" footer="0.3"/>
  <pageSetup orientation="portrait" r:id="rId1"/>
  <drawing r:id="rId2"/>
</worksheet>
</file>

<file path=customUI/customUI.xml><?xml version="1.0" encoding="utf-8"?>
<customUI xmlns="http://schemas.microsoft.com/office/2006/01/customui">
  <ribbon startFromScratch="true">
    <tabs>
      <tab id="customTab" label="Confirmaciones DBC">
        <group id="groupAdmon" label="Admon">
          <button id="btnInicio1" label="Inicio" size="large" onAction="OnButton11Click" imageMso="RmsNavigationBarHome"/>
          <button id="btnGuardar" label="Guardar" size="large" onAction="OnButton12Click" imageMso="FileSave"/>
        </group>
        <group id="groupSoporteBanco1" label="Soportes Banco Diario">
          <button id="btnHojaGeneral" label="Hoja Ban.Diario" size="large" onAction="OnButton21Click" imageMso="TableAutoFormat"/>
          <button id="btnProcesar" label="Procesar Ban.Diario" size="large" onAction="OnButton22Click" imageMso="ObjectEditPoints"/>
          <button id="btnCargar" label="Carga Dato DBGen." size="large" onAction="OnButton23Click" imageMso="TableIndexes"/>
          <button id="btnBorrado" label="Borrar Datos Ban.Diario" size="large" onAction="OnButton24Click" imageMso="Clear"/>
        </group>
        <group id="groupSoporteBanco2" label="Soportes Banco Tarde">
          <button id="btnHojaTarde" label="Hoja Ban.Tarde" size="large" onAction="OnButton31Click" imageMso="DateAndTimeInsert"/>
          <button id="btnProcesar2" label="Procesar Ban.Tarde" size="large" onAction="OnButton32Click" imageMso="SlideShowRehearseTimings"/>
          <button id="btnCargar2" label="Carga Dato DBGen." size="large" onAction="OnButton33Click" imageMso="WindowSaveWorkspace"/>
          <button id="btnBorrado2" label="Borrar Datos Ban.Tarde" size="large" onAction="OnButton34Click" imageMso="Clear"/>
        </group>
        <group id="groupForms" label="Formulario">
          <button id="btnHojaForms" label="Hoja Forms" size="large" onAction="OnButton41Click" imageMso="InviteAttendees"/>
          <button id="btnProcesar3" label="Procesar Forms" size="large" onAction="OnButton42Click" imageMso="NewContact"/>
          <button id="btnValidar" label="Valida Tienda" size="large" onAction="OnButton43Click" imageMso="MasterDocumentShow"/>
          <button id="btnBorrado3" label="Borrar Dato Form" size="large" onAction="OnButton44Click" imageMso="Clear"/>
        </group>
        <group id="groupEnvios" label="Enviar Correos">
          <button id="btnEnvioCorreos" label="Enviar Correos" size="large" onAction="OnButton52Click" imageMso="SendStatusReport"/>
        </group>
        <group id="grouptiendas" label="Tiendas">
          <button id="btnHojaTienda" label="Hoja Tiendas" size="large" onAction="OnButton61Click" imageMso="DataRangeProperties"/>
        </group>
        <group id="groupDBGENERAL" label="DB General">
          <button id="btnHojaDBGENERAL" label="Hoja DBGENERAL" size="large" onAction="OnButton71Click" imageMso="RecordsRefreshRecords"/>
          <button id="btnEXPORT" label="Export xlsx" size="large" onAction="OnButton72Click" imageMso="SelectAllRecords"/>
          <button id="btnDupli" label="Duplicados" size="large" onAction="OnButton73Click" imageMso="RemoveDuplicates"/>
          <button id="btnFormato" label="Formato" size="large" onAction="OnButton74Click" imageMso="ObjectFormatDialog"/>
        </group>
      </tab>
    </tabs>
  </ribbon>
</customUI>
</file>

<file path=docMetadata/LabelInfo.xml><?xml version="1.0" encoding="utf-8"?>
<clbl:labelList xmlns:clbl="http://schemas.microsoft.com/office/2020/mipLabelMetadata">
  <clbl:label id="{76a2ae5a-9f00-4f6b-95ed-5d33d77c4d61}" enabled="0" method="" siteId="{76a2ae5a-9f00-4f6b-95ed-5d33d77c4d6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Ppl</vt:lpstr>
      <vt:lpstr>DB1</vt:lpstr>
      <vt:lpstr>DB2</vt:lpstr>
      <vt:lpstr>Forms1</vt:lpstr>
      <vt:lpstr>Tiendas</vt:lpstr>
      <vt:lpstr>DBGENERAL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Alejandro Escobar Obando</dc:creator>
  <cp:lastModifiedBy>Andres Alejandro Escobar Obando</cp:lastModifiedBy>
  <dcterms:created xsi:type="dcterms:W3CDTF">2025-08-07T17:36:54Z</dcterms:created>
  <dcterms:modified xsi:type="dcterms:W3CDTF">2025-10-10T02:27:34Z</dcterms:modified>
</cp:coreProperties>
</file>